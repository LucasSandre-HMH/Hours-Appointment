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hmhw-my.sharepoint.com/personal/lucas_sandre_hmhw_com/Documents/Documents/"/>
    </mc:Choice>
  </mc:AlternateContent>
  <xr:revisionPtr revIDLastSave="31" documentId="8_{92B160EB-8CC7-4851-BA69-E73350171514}" xr6:coauthVersionLast="47" xr6:coauthVersionMax="47" xr10:uidLastSave="{59C5AF91-D0C6-48C3-A445-3DDC9316C8EB}"/>
  <bookViews>
    <workbookView xWindow="-110" yWindow="-110" windowWidth="19420" windowHeight="10300" firstSheet="1" activeTab="2" xr2:uid="{CAFBA452-1433-4691-9C67-A1381B68CADC}"/>
  </bookViews>
  <sheets>
    <sheet name="Legend, definitions &amp; instr" sheetId="28" r:id="rId1"/>
    <sheet name="Projects Overview" sheetId="30" r:id="rId2"/>
    <sheet name="RCCP SAM" sheetId="31" r:id="rId3"/>
  </sheets>
  <definedNames>
    <definedName name="_xlnm._FilterDatabase" localSheetId="1" hidden="1">'Projects Overview'!$A$1:$AP$167</definedName>
    <definedName name="_xlnm._FilterDatabase" localSheetId="2" hidden="1">'RCCP SAM'!$A$4:$AA$131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9" i="30" l="1"/>
  <c r="AD78" i="30"/>
  <c r="AC78" i="30"/>
  <c r="AE76" i="30"/>
  <c r="AC75" i="30"/>
  <c r="AB75" i="30"/>
  <c r="Z74" i="30"/>
  <c r="AA77" i="30"/>
  <c r="AB109" i="30" l="1"/>
  <c r="AA161" i="30"/>
  <c r="AA152" i="30"/>
  <c r="AA153" i="30"/>
  <c r="AA154" i="30"/>
  <c r="AA3" i="30"/>
  <c r="AC3" i="30"/>
  <c r="AC171" i="30"/>
  <c r="AA15" i="30"/>
  <c r="AA140" i="30"/>
  <c r="AI210" i="30"/>
  <c r="AH210" i="30"/>
  <c r="AI209" i="30"/>
  <c r="AH209" i="30"/>
  <c r="AI208" i="30"/>
  <c r="AH208" i="30"/>
  <c r="AI207" i="30"/>
  <c r="AH207" i="30"/>
  <c r="AG206" i="30"/>
  <c r="AF206" i="30"/>
  <c r="AG205" i="30"/>
  <c r="AF205" i="30"/>
  <c r="AH201" i="30"/>
  <c r="AH202" i="30"/>
  <c r="AH203" i="30"/>
  <c r="AH204" i="30"/>
  <c r="AG204" i="30"/>
  <c r="AG203" i="30"/>
  <c r="AG202" i="30"/>
  <c r="AG201" i="30"/>
  <c r="AC200" i="30"/>
  <c r="AG232" i="30"/>
  <c r="AC231" i="30"/>
  <c r="AB231" i="30"/>
  <c r="AO230" i="30"/>
  <c r="AN230" i="30"/>
  <c r="AM230" i="30"/>
  <c r="AJ228" i="30"/>
  <c r="AI228" i="30"/>
  <c r="AA89" i="30"/>
  <c r="AC82" i="30"/>
  <c r="AD211" i="30"/>
  <c r="AE194" i="30"/>
  <c r="AE193" i="30"/>
  <c r="AE192" i="30"/>
  <c r="AE191" i="30"/>
  <c r="AD195" i="30"/>
  <c r="AD196" i="30"/>
  <c r="AA190" i="30"/>
  <c r="AB212" i="30"/>
  <c r="AF274" i="30"/>
  <c r="AG274" i="30"/>
  <c r="AH274" i="30"/>
  <c r="AI274" i="30"/>
  <c r="AH273" i="30"/>
  <c r="AG273" i="30"/>
  <c r="AH272" i="30"/>
  <c r="AA360" i="30"/>
  <c r="AT380" i="30"/>
  <c r="AS378" i="30"/>
  <c r="AR377" i="30"/>
  <c r="AV387" i="30"/>
  <c r="AM88" i="31" s="1" a="1"/>
  <c r="AM88" i="31" s="1"/>
  <c r="AU386" i="30"/>
  <c r="AU385" i="30"/>
  <c r="AU384" i="30"/>
  <c r="AT383" i="30"/>
  <c r="AS382" i="30"/>
  <c r="AT381" i="30"/>
  <c r="AR379" i="30"/>
  <c r="AQ376" i="30"/>
  <c r="AQ375" i="30"/>
  <c r="AQ374" i="30"/>
  <c r="AO373" i="30"/>
  <c r="AP372" i="30"/>
  <c r="AO371" i="30"/>
  <c r="AN370" i="30"/>
  <c r="AN369" i="30"/>
  <c r="AM368" i="30"/>
  <c r="AK367" i="30"/>
  <c r="AL366" i="30"/>
  <c r="AL365" i="30"/>
  <c r="AK364" i="30"/>
  <c r="AD189" i="30"/>
  <c r="AB181" i="30"/>
  <c r="AH180" i="30"/>
  <c r="AJ179" i="30"/>
  <c r="AA178" i="30"/>
  <c r="AH188" i="30"/>
  <c r="AI183" i="30"/>
  <c r="AG182" i="30"/>
  <c r="AJ46" i="30"/>
  <c r="AI46" i="30"/>
  <c r="AC54" i="30"/>
  <c r="AB54" i="30"/>
  <c r="AJ186" i="30"/>
  <c r="AI185" i="30"/>
  <c r="AG184" i="30"/>
  <c r="AF184" i="30"/>
  <c r="AM7" i="31" a="1"/>
  <c r="AM7" i="31" s="1"/>
  <c r="AM6" i="31" a="1"/>
  <c r="AM6" i="31" s="1"/>
  <c r="AP363" i="30"/>
  <c r="AO363" i="30"/>
  <c r="AN363" i="30"/>
  <c r="AM363" i="30"/>
  <c r="AL363" i="30"/>
  <c r="AK363" i="30"/>
  <c r="AP362" i="30"/>
  <c r="AO362" i="30"/>
  <c r="AI24" i="31" s="1" a="1"/>
  <c r="AI24" i="31" s="1"/>
  <c r="AN362" i="30"/>
  <c r="AM362" i="30"/>
  <c r="AL362" i="30"/>
  <c r="AK362" i="30"/>
  <c r="Z178" i="30"/>
  <c r="AL111" i="31" l="1" a="1"/>
  <c r="AL111" i="31" s="1"/>
  <c r="BH8" i="31"/>
  <c r="AM14" i="31" a="1"/>
  <c r="AM14" i="31" s="1"/>
  <c r="AM16" i="31" a="1"/>
  <c r="AM16" i="31" s="1"/>
  <c r="AM30" i="31" a="1"/>
  <c r="AM30" i="31" s="1"/>
  <c r="AK6" i="31" a="1"/>
  <c r="AK6" i="31" s="1"/>
  <c r="AJ7" i="31" a="1"/>
  <c r="AJ7" i="31" s="1"/>
  <c r="AM15" i="31" a="1"/>
  <c r="AM15" i="31" s="1"/>
  <c r="AM17" i="31" a="1"/>
  <c r="AM17" i="31" s="1"/>
  <c r="AM23" i="31" a="1"/>
  <c r="AM23" i="31" s="1"/>
  <c r="AM9" i="31" a="1"/>
  <c r="AM9" i="31" s="1"/>
  <c r="AM13" i="31" a="1"/>
  <c r="AM13" i="31" s="1"/>
  <c r="AJ128" i="31" a="1"/>
  <c r="AJ128" i="31" s="1"/>
  <c r="AK9" i="31" a="1"/>
  <c r="AK9" i="31" s="1"/>
  <c r="AJ12" i="31" a="1"/>
  <c r="AJ12" i="31" s="1"/>
  <c r="AK44" i="31" a="1"/>
  <c r="AK44" i="31" s="1"/>
  <c r="AJ8" i="31" a="1"/>
  <c r="AJ8" i="31" s="1"/>
  <c r="AJ19" i="31" a="1"/>
  <c r="AJ19" i="31" s="1"/>
  <c r="AK28" i="31" a="1"/>
  <c r="AK28" i="31" s="1"/>
  <c r="AJ43" i="31" a="1"/>
  <c r="AJ43" i="31" s="1"/>
  <c r="AJ15" i="31" a="1"/>
  <c r="AJ15" i="31" s="1"/>
  <c r="AK34" i="31" a="1"/>
  <c r="AK34" i="31" s="1"/>
  <c r="AJ16" i="31" a="1"/>
  <c r="AJ16" i="31" s="1"/>
  <c r="AJ51" i="31" a="1"/>
  <c r="AJ51" i="31" s="1"/>
  <c r="AJ11" i="31" a="1"/>
  <c r="AJ11" i="31" s="1"/>
  <c r="AK35" i="31" a="1"/>
  <c r="AK35" i="31" s="1"/>
  <c r="AK22" i="31" a="1"/>
  <c r="AK22" i="31" s="1"/>
  <c r="AI8" i="31" a="1"/>
  <c r="AI8" i="31" s="1"/>
  <c r="AM38" i="31" a="1"/>
  <c r="AM38" i="31" s="1"/>
  <c r="AM42" i="31" a="1"/>
  <c r="AM42" i="31" s="1"/>
  <c r="AM27" i="31" a="1"/>
  <c r="AM27" i="31" s="1"/>
  <c r="AK14" i="31" a="1"/>
  <c r="AK14" i="31" s="1"/>
  <c r="AK17" i="31" a="1"/>
  <c r="AK17" i="31" s="1"/>
  <c r="AK23" i="31" a="1"/>
  <c r="AK23" i="31" s="1"/>
  <c r="AK29" i="31" a="1"/>
  <c r="AK29" i="31" s="1"/>
  <c r="AK37" i="31" a="1"/>
  <c r="AK37" i="31" s="1"/>
  <c r="AK47" i="31" a="1"/>
  <c r="AK47" i="31" s="1"/>
  <c r="AK10" i="31" a="1"/>
  <c r="AK10" i="31" s="1"/>
  <c r="AK30" i="31" a="1"/>
  <c r="AK30" i="31" s="1"/>
  <c r="AK38" i="31" a="1"/>
  <c r="AK38" i="31" s="1"/>
  <c r="AK52" i="31" a="1"/>
  <c r="AK52" i="31" s="1"/>
  <c r="AK7" i="31" a="1"/>
  <c r="AK7" i="31" s="1"/>
  <c r="AK18" i="31" a="1"/>
  <c r="AK18" i="31" s="1"/>
  <c r="AK24" i="31" a="1"/>
  <c r="AK24" i="31" s="1"/>
  <c r="AK54" i="31" a="1"/>
  <c r="AK54" i="31" s="1"/>
  <c r="AK11" i="31" a="1"/>
  <c r="AK11" i="31" s="1"/>
  <c r="AK15" i="31" a="1"/>
  <c r="AK15" i="31" s="1"/>
  <c r="AK25" i="31" a="1"/>
  <c r="AK25" i="31" s="1"/>
  <c r="AK31" i="31" a="1"/>
  <c r="AK31" i="31" s="1"/>
  <c r="AK39" i="31" a="1"/>
  <c r="AK39" i="31" s="1"/>
  <c r="AK19" i="31" a="1"/>
  <c r="AK19" i="31" s="1"/>
  <c r="AK26" i="31" a="1"/>
  <c r="AK26" i="31" s="1"/>
  <c r="AK32" i="31" a="1"/>
  <c r="AK32" i="31" s="1"/>
  <c r="AK40" i="31" a="1"/>
  <c r="AK40" i="31" s="1"/>
  <c r="AK12" i="31" a="1"/>
  <c r="AK12" i="31" s="1"/>
  <c r="AK20" i="31" a="1"/>
  <c r="AK20" i="31" s="1"/>
  <c r="AK27" i="31" a="1"/>
  <c r="AK27" i="31" s="1"/>
  <c r="AK33" i="31" a="1"/>
  <c r="AK33" i="31" s="1"/>
  <c r="AK41" i="31" a="1"/>
  <c r="AK41" i="31" s="1"/>
  <c r="AK57" i="31" a="1"/>
  <c r="AK57" i="31" s="1"/>
  <c r="AK8" i="31" a="1"/>
  <c r="AK8" i="31" s="1"/>
  <c r="AK13" i="31" a="1"/>
  <c r="AK13" i="31" s="1"/>
  <c r="AK16" i="31" a="1"/>
  <c r="AK16" i="31" s="1"/>
  <c r="AK21" i="31" a="1"/>
  <c r="AK21" i="31" s="1"/>
  <c r="AL107" i="31" a="1"/>
  <c r="AL107" i="31" s="1"/>
  <c r="AH19" i="31" a="1"/>
  <c r="AH19" i="31" s="1"/>
  <c r="AI16" i="31" a="1"/>
  <c r="AI16" i="31" s="1"/>
  <c r="AI20" i="31" a="1"/>
  <c r="AI20" i="31" s="1"/>
  <c r="AI12" i="31" a="1"/>
  <c r="AI12" i="31" s="1"/>
  <c r="AL6" i="31" a="1"/>
  <c r="AL6" i="31" s="1"/>
  <c r="AL8" i="31" a="1"/>
  <c r="AL8" i="31" s="1"/>
  <c r="AK49" i="31" a="1"/>
  <c r="AK49" i="31" s="1"/>
  <c r="AK121" i="31" a="1"/>
  <c r="AK121" i="31" s="1"/>
  <c r="AK51" i="31" a="1"/>
  <c r="AK51" i="31" s="1"/>
  <c r="AK58" i="31" a="1"/>
  <c r="AK58" i="31" s="1"/>
  <c r="AK45" i="31" a="1"/>
  <c r="AK45" i="31" s="1"/>
  <c r="AK68" i="31" a="1"/>
  <c r="AK68" i="31" s="1"/>
  <c r="AH131" i="31" a="1"/>
  <c r="AH131" i="31" s="1"/>
  <c r="AK46" i="31" a="1"/>
  <c r="AK46" i="31" s="1"/>
  <c r="AK89" i="31" a="1"/>
  <c r="AK89" i="31" s="1"/>
  <c r="AL37" i="31" a="1"/>
  <c r="AL37" i="31" s="1"/>
  <c r="AK43" i="31" a="1"/>
  <c r="AK43" i="31" s="1"/>
  <c r="AK50" i="31" a="1"/>
  <c r="AK50" i="31" s="1"/>
  <c r="AM58" i="31" a="1"/>
  <c r="AM58" i="31" s="1"/>
  <c r="AM68" i="31" a="1"/>
  <c r="AM68" i="31" s="1"/>
  <c r="AL92" i="31" a="1"/>
  <c r="AL92" i="31" s="1"/>
  <c r="AK113" i="31" a="1"/>
  <c r="AK113" i="31" s="1"/>
  <c r="AK115" i="31" a="1"/>
  <c r="AK115" i="31" s="1"/>
  <c r="AL12" i="31" a="1"/>
  <c r="AL12" i="31" s="1"/>
  <c r="AL15" i="31" a="1"/>
  <c r="AL15" i="31" s="1"/>
  <c r="AL17" i="31" a="1"/>
  <c r="AL17" i="31" s="1"/>
  <c r="AL20" i="31" a="1"/>
  <c r="AL20" i="31" s="1"/>
  <c r="AK59" i="31" a="1"/>
  <c r="AK59" i="31" s="1"/>
  <c r="AK73" i="31" a="1"/>
  <c r="AK73" i="31" s="1"/>
  <c r="AM94" i="31" a="1"/>
  <c r="AM94" i="31" s="1"/>
  <c r="AM120" i="31" a="1"/>
  <c r="AM120" i="31" s="1"/>
  <c r="AK131" i="31" a="1"/>
  <c r="AK131" i="31" s="1"/>
  <c r="AM130" i="31" a="1"/>
  <c r="AM130" i="31" s="1"/>
  <c r="AL59" i="31" a="1"/>
  <c r="AL59" i="31" s="1"/>
  <c r="AL73" i="31" a="1"/>
  <c r="AL73" i="31" s="1"/>
  <c r="AL96" i="31" a="1"/>
  <c r="AL96" i="31" s="1"/>
  <c r="AL10" i="31" a="1"/>
  <c r="AL10" i="31" s="1"/>
  <c r="AL21" i="31" a="1"/>
  <c r="AL21" i="31" s="1"/>
  <c r="AL45" i="31" a="1"/>
  <c r="AL45" i="31" s="1"/>
  <c r="AK53" i="31" a="1"/>
  <c r="AK53" i="31" s="1"/>
  <c r="AK60" i="31" a="1"/>
  <c r="AK60" i="31" s="1"/>
  <c r="AM74" i="31" a="1"/>
  <c r="AM74" i="31" s="1"/>
  <c r="AK97" i="31" a="1"/>
  <c r="AK97" i="31" s="1"/>
  <c r="AL122" i="31" a="1"/>
  <c r="AL122" i="31" s="1"/>
  <c r="AL18" i="31" a="1"/>
  <c r="AL18" i="31" s="1"/>
  <c r="AM63" i="31" a="1"/>
  <c r="AM63" i="31" s="1"/>
  <c r="AL77" i="31" a="1"/>
  <c r="AL77" i="31" s="1"/>
  <c r="AM100" i="31" a="1"/>
  <c r="AM100" i="31" s="1"/>
  <c r="AL126" i="31" a="1"/>
  <c r="AL126" i="31" s="1"/>
  <c r="AL14" i="31" a="1"/>
  <c r="AL14" i="31" s="1"/>
  <c r="AK55" i="31" a="1"/>
  <c r="AK55" i="31" s="1"/>
  <c r="AK65" i="31" a="1"/>
  <c r="AK65" i="31" s="1"/>
  <c r="AK81" i="31" a="1"/>
  <c r="AK81" i="31" s="1"/>
  <c r="AK105" i="31" a="1"/>
  <c r="AK105" i="31" s="1"/>
  <c r="AK129" i="31" a="1"/>
  <c r="AK129" i="31" s="1"/>
  <c r="AL129" i="31" a="1"/>
  <c r="AL129" i="31" s="1"/>
  <c r="AL16" i="31" a="1"/>
  <c r="AL16" i="31" s="1"/>
  <c r="AL29" i="31" a="1"/>
  <c r="AL29" i="31" s="1"/>
  <c r="AK36" i="31" a="1"/>
  <c r="AK36" i="31" s="1"/>
  <c r="AK42" i="31" a="1"/>
  <c r="AK42" i="31" s="1"/>
  <c r="AL48" i="31" a="1"/>
  <c r="AL48" i="31" s="1"/>
  <c r="AL66" i="31" a="1"/>
  <c r="AL66" i="31" s="1"/>
  <c r="AM34" i="31" a="1"/>
  <c r="AM34" i="31" s="1"/>
  <c r="AM45" i="31" a="1"/>
  <c r="AM45" i="31" s="1"/>
  <c r="AM49" i="31" a="1"/>
  <c r="AM49" i="31" s="1"/>
  <c r="AM53" i="31" a="1"/>
  <c r="AM53" i="31" s="1"/>
  <c r="AM62" i="31" a="1"/>
  <c r="AM62" i="31" s="1"/>
  <c r="AM73" i="31" a="1"/>
  <c r="AM73" i="31" s="1"/>
  <c r="AM80" i="31" a="1"/>
  <c r="AM80" i="31" s="1"/>
  <c r="AM87" i="31" a="1"/>
  <c r="AM87" i="31" s="1"/>
  <c r="AM93" i="31" a="1"/>
  <c r="AM93" i="31" s="1"/>
  <c r="AM99" i="31" a="1"/>
  <c r="AM99" i="31" s="1"/>
  <c r="AM106" i="31" a="1"/>
  <c r="AM106" i="31" s="1"/>
  <c r="AM112" i="31" a="1"/>
  <c r="AM112" i="31" s="1"/>
  <c r="AM119" i="31" a="1"/>
  <c r="AM119" i="31" s="1"/>
  <c r="AM125" i="31" a="1"/>
  <c r="AM125" i="31" s="1"/>
  <c r="AM131" i="31" a="1"/>
  <c r="AM131" i="31" s="1"/>
  <c r="AM11" i="31" a="1"/>
  <c r="AM11" i="31" s="1"/>
  <c r="AM31" i="31" a="1"/>
  <c r="AM31" i="31" s="1"/>
  <c r="AM35" i="31" a="1"/>
  <c r="AM35" i="31" s="1"/>
  <c r="AM46" i="31" a="1"/>
  <c r="AM46" i="31" s="1"/>
  <c r="AM50" i="31" a="1"/>
  <c r="AM50" i="31" s="1"/>
  <c r="AM54" i="31" a="1"/>
  <c r="AM54" i="31" s="1"/>
  <c r="AM64" i="31" a="1"/>
  <c r="AM64" i="31" s="1"/>
  <c r="AM69" i="31" a="1"/>
  <c r="AM69" i="31" s="1"/>
  <c r="AM75" i="31" a="1"/>
  <c r="AM75" i="31" s="1"/>
  <c r="AM81" i="31" a="1"/>
  <c r="AM81" i="31" s="1"/>
  <c r="AM95" i="31" a="1"/>
  <c r="AM95" i="31" s="1"/>
  <c r="AM101" i="31" a="1"/>
  <c r="AM101" i="31" s="1"/>
  <c r="AM107" i="31" a="1"/>
  <c r="AM107" i="31" s="1"/>
  <c r="AM113" i="31" a="1"/>
  <c r="AM113" i="31" s="1"/>
  <c r="AM126" i="31" a="1"/>
  <c r="AM126" i="31" s="1"/>
  <c r="AM8" i="31" a="1"/>
  <c r="AM8" i="31" s="1"/>
  <c r="AM20" i="31" a="1"/>
  <c r="AM20" i="31" s="1"/>
  <c r="AM18" i="31" a="1"/>
  <c r="AM18" i="31" s="1"/>
  <c r="AM24" i="31" a="1"/>
  <c r="AM24" i="31" s="1"/>
  <c r="AM28" i="31" a="1"/>
  <c r="AM28" i="31" s="1"/>
  <c r="AM39" i="31" a="1"/>
  <c r="AM39" i="31" s="1"/>
  <c r="AM43" i="31" a="1"/>
  <c r="AM43" i="31" s="1"/>
  <c r="AM70" i="31" a="1"/>
  <c r="AM70" i="31" s="1"/>
  <c r="AM76" i="31" a="1"/>
  <c r="AM76" i="31" s="1"/>
  <c r="AM82" i="31" a="1"/>
  <c r="AM82" i="31" s="1"/>
  <c r="AM89" i="31" a="1"/>
  <c r="AM89" i="31" s="1"/>
  <c r="AM102" i="31" a="1"/>
  <c r="AM102" i="31" s="1"/>
  <c r="AM108" i="31" a="1"/>
  <c r="AM108" i="31" s="1"/>
  <c r="AM114" i="31" a="1"/>
  <c r="AM114" i="31" s="1"/>
  <c r="AM121" i="31" a="1"/>
  <c r="AM121" i="31" s="1"/>
  <c r="AM127" i="31" a="1"/>
  <c r="AM127" i="31" s="1"/>
  <c r="AM32" i="31" a="1"/>
  <c r="AM32" i="31" s="1"/>
  <c r="AM36" i="31" a="1"/>
  <c r="AM36" i="31" s="1"/>
  <c r="AM47" i="31" a="1"/>
  <c r="AM47" i="31" s="1"/>
  <c r="AM51" i="31" a="1"/>
  <c r="AM51" i="31" s="1"/>
  <c r="AM55" i="31" a="1"/>
  <c r="AM55" i="31" s="1"/>
  <c r="AM59" i="31" a="1"/>
  <c r="AM59" i="31" s="1"/>
  <c r="AM65" i="31" a="1"/>
  <c r="AM65" i="31" s="1"/>
  <c r="AM71" i="31" a="1"/>
  <c r="AM71" i="31" s="1"/>
  <c r="AM83" i="31" a="1"/>
  <c r="AM83" i="31" s="1"/>
  <c r="AM90" i="31" a="1"/>
  <c r="AM90" i="31" s="1"/>
  <c r="AM96" i="31" a="1"/>
  <c r="AM96" i="31" s="1"/>
  <c r="AM103" i="31" a="1"/>
  <c r="AM103" i="31" s="1"/>
  <c r="AM109" i="31" a="1"/>
  <c r="AM109" i="31" s="1"/>
  <c r="AM115" i="31" a="1"/>
  <c r="AM115" i="31" s="1"/>
  <c r="AM128" i="31" a="1"/>
  <c r="AM128" i="31" s="1"/>
  <c r="AM21" i="31" a="1"/>
  <c r="AM21" i="31" s="1"/>
  <c r="AM44" i="31" a="1"/>
  <c r="AM44" i="31" s="1"/>
  <c r="AM56" i="31" a="1"/>
  <c r="AM56" i="31" s="1"/>
  <c r="AM72" i="31" a="1"/>
  <c r="AM72" i="31" s="1"/>
  <c r="AM77" i="31" a="1"/>
  <c r="AM77" i="31" s="1"/>
  <c r="AM84" i="31" a="1"/>
  <c r="AM84" i="31" s="1"/>
  <c r="AM91" i="31" a="1"/>
  <c r="AM91" i="31" s="1"/>
  <c r="AM104" i="31" a="1"/>
  <c r="AM104" i="31" s="1"/>
  <c r="AM110" i="31" a="1"/>
  <c r="AM110" i="31" s="1"/>
  <c r="AM116" i="31" a="1"/>
  <c r="AM116" i="31" s="1"/>
  <c r="AM122" i="31" a="1"/>
  <c r="AM122" i="31" s="1"/>
  <c r="AM25" i="31" a="1"/>
  <c r="AM25" i="31" s="1"/>
  <c r="AM40" i="31" a="1"/>
  <c r="AM40" i="31" s="1"/>
  <c r="AM19" i="31" a="1"/>
  <c r="AM19" i="31" s="1"/>
  <c r="AM29" i="31" a="1"/>
  <c r="AM29" i="31" s="1"/>
  <c r="AM33" i="31" a="1"/>
  <c r="AM33" i="31" s="1"/>
  <c r="AM48" i="31" a="1"/>
  <c r="AM48" i="31" s="1"/>
  <c r="AM52" i="31" a="1"/>
  <c r="AM52" i="31" s="1"/>
  <c r="AM60" i="31" a="1"/>
  <c r="AM60" i="31" s="1"/>
  <c r="AM66" i="31" a="1"/>
  <c r="AM66" i="31" s="1"/>
  <c r="AM78" i="31" a="1"/>
  <c r="AM78" i="31" s="1"/>
  <c r="AM85" i="31" a="1"/>
  <c r="AM85" i="31" s="1"/>
  <c r="AM97" i="31" a="1"/>
  <c r="AM97" i="31" s="1"/>
  <c r="AM117" i="31" a="1"/>
  <c r="AM117" i="31" s="1"/>
  <c r="AM123" i="31" a="1"/>
  <c r="AM123" i="31" s="1"/>
  <c r="AM129" i="31" a="1"/>
  <c r="AM129" i="31" s="1"/>
  <c r="AM10" i="31" a="1"/>
  <c r="AM10" i="31" s="1"/>
  <c r="AM12" i="31" a="1"/>
  <c r="AM12" i="31" s="1"/>
  <c r="AM22" i="31" a="1"/>
  <c r="AM22" i="31" s="1"/>
  <c r="AM26" i="31" a="1"/>
  <c r="AM26" i="31" s="1"/>
  <c r="AM37" i="31" a="1"/>
  <c r="AM37" i="31" s="1"/>
  <c r="AM41" i="31" a="1"/>
  <c r="AM41" i="31" s="1"/>
  <c r="AM57" i="31" a="1"/>
  <c r="AM57" i="31" s="1"/>
  <c r="AM61" i="31" a="1"/>
  <c r="AM61" i="31" s="1"/>
  <c r="AM67" i="31" a="1"/>
  <c r="AM67" i="31" s="1"/>
  <c r="AM79" i="31" a="1"/>
  <c r="AM79" i="31" s="1"/>
  <c r="AM86" i="31" a="1"/>
  <c r="AM86" i="31" s="1"/>
  <c r="AM92" i="31" a="1"/>
  <c r="AM92" i="31" s="1"/>
  <c r="AM98" i="31" a="1"/>
  <c r="AM98" i="31" s="1"/>
  <c r="AM105" i="31" a="1"/>
  <c r="AM105" i="31" s="1"/>
  <c r="AM111" i="31" a="1"/>
  <c r="AM111" i="31" s="1"/>
  <c r="AM118" i="31" a="1"/>
  <c r="AM118" i="31" s="1"/>
  <c r="AM124" i="31" a="1"/>
  <c r="AM124" i="31" s="1"/>
  <c r="AL19" i="31" a="1"/>
  <c r="AL19" i="31" s="1"/>
  <c r="AL24" i="31" a="1"/>
  <c r="AL24" i="31" s="1"/>
  <c r="AL32" i="31" a="1"/>
  <c r="AL32" i="31" s="1"/>
  <c r="AL40" i="31" a="1"/>
  <c r="AL40" i="31" s="1"/>
  <c r="AL51" i="31" a="1"/>
  <c r="AL51" i="31" s="1"/>
  <c r="AL63" i="31" a="1"/>
  <c r="AL63" i="31" s="1"/>
  <c r="AL70" i="31" a="1"/>
  <c r="AL70" i="31" s="1"/>
  <c r="AL81" i="31" a="1"/>
  <c r="AL81" i="31" s="1"/>
  <c r="AL85" i="31" a="1"/>
  <c r="AL85" i="31" s="1"/>
  <c r="AL100" i="31" a="1"/>
  <c r="AL100" i="31" s="1"/>
  <c r="AL104" i="31" a="1"/>
  <c r="AL104" i="31" s="1"/>
  <c r="AL115" i="31" a="1"/>
  <c r="AL115" i="31" s="1"/>
  <c r="AL119" i="31" a="1"/>
  <c r="AL119" i="31" s="1"/>
  <c r="AL130" i="31" a="1"/>
  <c r="AL130" i="31" s="1"/>
  <c r="AL27" i="31" a="1"/>
  <c r="AL27" i="31" s="1"/>
  <c r="AL35" i="31" a="1"/>
  <c r="AL35" i="31" s="1"/>
  <c r="AL43" i="31" a="1"/>
  <c r="AL43" i="31" s="1"/>
  <c r="AL54" i="31" a="1"/>
  <c r="AL54" i="31" s="1"/>
  <c r="AL57" i="31" a="1"/>
  <c r="AL57" i="31" s="1"/>
  <c r="AL67" i="31" a="1"/>
  <c r="AL67" i="31" s="1"/>
  <c r="AL74" i="31" a="1"/>
  <c r="AL74" i="31" s="1"/>
  <c r="AL78" i="31" a="1"/>
  <c r="AL78" i="31" s="1"/>
  <c r="AL89" i="31" a="1"/>
  <c r="AL89" i="31" s="1"/>
  <c r="AL93" i="31" a="1"/>
  <c r="AL93" i="31" s="1"/>
  <c r="AL108" i="31" a="1"/>
  <c r="AL108" i="31" s="1"/>
  <c r="AL112" i="31" a="1"/>
  <c r="AL112" i="31" s="1"/>
  <c r="AL123" i="31" a="1"/>
  <c r="AL123" i="31" s="1"/>
  <c r="AL127" i="31" a="1"/>
  <c r="AL127" i="31" s="1"/>
  <c r="AL13" i="31" a="1"/>
  <c r="AL13" i="31" s="1"/>
  <c r="AL38" i="31" a="1"/>
  <c r="AL38" i="31" s="1"/>
  <c r="AL46" i="31" a="1"/>
  <c r="AL46" i="31" s="1"/>
  <c r="AL49" i="31" a="1"/>
  <c r="AL49" i="31" s="1"/>
  <c r="AL60" i="31" a="1"/>
  <c r="AL60" i="31" s="1"/>
  <c r="AL64" i="31" a="1"/>
  <c r="AL64" i="31" s="1"/>
  <c r="AL71" i="31" a="1"/>
  <c r="AL71" i="31" s="1"/>
  <c r="AL82" i="31" a="1"/>
  <c r="AL82" i="31" s="1"/>
  <c r="AL86" i="31" a="1"/>
  <c r="AL86" i="31" s="1"/>
  <c r="AL97" i="31" a="1"/>
  <c r="AL97" i="31" s="1"/>
  <c r="AL101" i="31" a="1"/>
  <c r="AL101" i="31" s="1"/>
  <c r="AL116" i="31" a="1"/>
  <c r="AL116" i="31" s="1"/>
  <c r="AL120" i="31" a="1"/>
  <c r="AL120" i="31" s="1"/>
  <c r="AL131" i="31" a="1"/>
  <c r="AL131" i="31" s="1"/>
  <c r="AL11" i="31" a="1"/>
  <c r="AL11" i="31" s="1"/>
  <c r="AL22" i="31" a="1"/>
  <c r="AL22" i="31" s="1"/>
  <c r="AL30" i="31" a="1"/>
  <c r="AL30" i="31" s="1"/>
  <c r="AL7" i="31" a="1"/>
  <c r="AL7" i="31" s="1"/>
  <c r="AL9" i="31" a="1"/>
  <c r="AL9" i="31" s="1"/>
  <c r="AL25" i="31" a="1"/>
  <c r="AL25" i="31" s="1"/>
  <c r="AL33" i="31" a="1"/>
  <c r="AL33" i="31" s="1"/>
  <c r="AL41" i="31" a="1"/>
  <c r="AL41" i="31" s="1"/>
  <c r="AL52" i="31" a="1"/>
  <c r="AL52" i="31" s="1"/>
  <c r="AL75" i="31" a="1"/>
  <c r="AL75" i="31" s="1"/>
  <c r="AL79" i="31" a="1"/>
  <c r="AL79" i="31" s="1"/>
  <c r="AL90" i="31" a="1"/>
  <c r="AL90" i="31" s="1"/>
  <c r="AL94" i="31" a="1"/>
  <c r="AL94" i="31" s="1"/>
  <c r="AL105" i="31" a="1"/>
  <c r="AL105" i="31" s="1"/>
  <c r="AL109" i="31" a="1"/>
  <c r="AL109" i="31" s="1"/>
  <c r="AL124" i="31" a="1"/>
  <c r="AL124" i="31" s="1"/>
  <c r="AL128" i="31" a="1"/>
  <c r="AL128" i="31" s="1"/>
  <c r="AL28" i="31" a="1"/>
  <c r="AL28" i="31" s="1"/>
  <c r="AL36" i="31" a="1"/>
  <c r="AL36" i="31" s="1"/>
  <c r="AL44" i="31" a="1"/>
  <c r="AL44" i="31" s="1"/>
  <c r="AL55" i="31" a="1"/>
  <c r="AL55" i="31" s="1"/>
  <c r="AL58" i="31" a="1"/>
  <c r="AL58" i="31" s="1"/>
  <c r="AL61" i="31" a="1"/>
  <c r="AL61" i="31" s="1"/>
  <c r="AL68" i="31" a="1"/>
  <c r="AL68" i="31" s="1"/>
  <c r="AL72" i="31" a="1"/>
  <c r="AL72" i="31" s="1"/>
  <c r="AL83" i="31" a="1"/>
  <c r="AL83" i="31" s="1"/>
  <c r="AL87" i="31" a="1"/>
  <c r="AL87" i="31" s="1"/>
  <c r="AL98" i="31" a="1"/>
  <c r="AL98" i="31" s="1"/>
  <c r="AL102" i="31" a="1"/>
  <c r="AL102" i="31" s="1"/>
  <c r="AL113" i="31" a="1"/>
  <c r="AL113" i="31" s="1"/>
  <c r="AL117" i="31" a="1"/>
  <c r="AL117" i="31" s="1"/>
  <c r="AL23" i="31" a="1"/>
  <c r="AL23" i="31" s="1"/>
  <c r="AL31" i="31" a="1"/>
  <c r="AL31" i="31" s="1"/>
  <c r="AL39" i="31" a="1"/>
  <c r="AL39" i="31" s="1"/>
  <c r="AL47" i="31" a="1"/>
  <c r="AL47" i="31" s="1"/>
  <c r="AL50" i="31" a="1"/>
  <c r="AL50" i="31" s="1"/>
  <c r="AL65" i="31" a="1"/>
  <c r="AL65" i="31" s="1"/>
  <c r="AL76" i="31" a="1"/>
  <c r="AL76" i="31" s="1"/>
  <c r="AL80" i="31" a="1"/>
  <c r="AL80" i="31" s="1"/>
  <c r="AL91" i="31" a="1"/>
  <c r="AL91" i="31" s="1"/>
  <c r="AL95" i="31" a="1"/>
  <c r="AL95" i="31" s="1"/>
  <c r="AL106" i="31" a="1"/>
  <c r="AL106" i="31" s="1"/>
  <c r="AL110" i="31" a="1"/>
  <c r="AL110" i="31" s="1"/>
  <c r="AL121" i="31" a="1"/>
  <c r="AL121" i="31" s="1"/>
  <c r="AL125" i="31" a="1"/>
  <c r="AL125" i="31" s="1"/>
  <c r="AL26" i="31" a="1"/>
  <c r="AL26" i="31" s="1"/>
  <c r="AL34" i="31" a="1"/>
  <c r="AL34" i="31" s="1"/>
  <c r="AL42" i="31" a="1"/>
  <c r="AL42" i="31" s="1"/>
  <c r="AL53" i="31" a="1"/>
  <c r="AL53" i="31" s="1"/>
  <c r="AL56" i="31" a="1"/>
  <c r="AL56" i="31" s="1"/>
  <c r="AL62" i="31" a="1"/>
  <c r="AL62" i="31" s="1"/>
  <c r="AL69" i="31" a="1"/>
  <c r="AL69" i="31" s="1"/>
  <c r="AL84" i="31" a="1"/>
  <c r="AL84" i="31" s="1"/>
  <c r="AL88" i="31" a="1"/>
  <c r="AL88" i="31" s="1"/>
  <c r="AL99" i="31" a="1"/>
  <c r="AL99" i="31" s="1"/>
  <c r="AL103" i="31" a="1"/>
  <c r="AL103" i="31" s="1"/>
  <c r="AL114" i="31" a="1"/>
  <c r="AL114" i="31" s="1"/>
  <c r="AL118" i="31" a="1"/>
  <c r="AL118" i="31" s="1"/>
  <c r="AK62" i="31" a="1"/>
  <c r="AK62" i="31" s="1"/>
  <c r="AK70" i="31" a="1"/>
  <c r="AK70" i="31" s="1"/>
  <c r="AK78" i="31" a="1"/>
  <c r="AK78" i="31" s="1"/>
  <c r="AK86" i="31" a="1"/>
  <c r="AK86" i="31" s="1"/>
  <c r="AK94" i="31" a="1"/>
  <c r="AK94" i="31" s="1"/>
  <c r="AK102" i="31" a="1"/>
  <c r="AK102" i="31" s="1"/>
  <c r="AK110" i="31" a="1"/>
  <c r="AK110" i="31" s="1"/>
  <c r="AK118" i="31" a="1"/>
  <c r="AK118" i="31" s="1"/>
  <c r="AK126" i="31" a="1"/>
  <c r="AK126" i="31" s="1"/>
  <c r="AK76" i="31" a="1"/>
  <c r="AK76" i="31" s="1"/>
  <c r="AK84" i="31" a="1"/>
  <c r="AK84" i="31" s="1"/>
  <c r="AK92" i="31" a="1"/>
  <c r="AK92" i="31" s="1"/>
  <c r="AK100" i="31" a="1"/>
  <c r="AK100" i="31" s="1"/>
  <c r="AK108" i="31" a="1"/>
  <c r="AK108" i="31" s="1"/>
  <c r="AK116" i="31" a="1"/>
  <c r="AK116" i="31" s="1"/>
  <c r="AK124" i="31" a="1"/>
  <c r="AK124" i="31" s="1"/>
  <c r="AK63" i="31" a="1"/>
  <c r="AK63" i="31" s="1"/>
  <c r="AK71" i="31" a="1"/>
  <c r="AK71" i="31" s="1"/>
  <c r="AK79" i="31" a="1"/>
  <c r="AK79" i="31" s="1"/>
  <c r="AK87" i="31" a="1"/>
  <c r="AK87" i="31" s="1"/>
  <c r="AK95" i="31" a="1"/>
  <c r="AK95" i="31" s="1"/>
  <c r="AK103" i="31" a="1"/>
  <c r="AK103" i="31" s="1"/>
  <c r="AK111" i="31" a="1"/>
  <c r="AK111" i="31" s="1"/>
  <c r="AK119" i="31" a="1"/>
  <c r="AK119" i="31" s="1"/>
  <c r="AK127" i="31" a="1"/>
  <c r="AK127" i="31" s="1"/>
  <c r="AK66" i="31" a="1"/>
  <c r="AK66" i="31" s="1"/>
  <c r="AK74" i="31" a="1"/>
  <c r="AK74" i="31" s="1"/>
  <c r="AK82" i="31" a="1"/>
  <c r="AK82" i="31" s="1"/>
  <c r="AK90" i="31" a="1"/>
  <c r="AK90" i="31" s="1"/>
  <c r="AK98" i="31" a="1"/>
  <c r="AK98" i="31" s="1"/>
  <c r="AK106" i="31" a="1"/>
  <c r="AK106" i="31" s="1"/>
  <c r="AK114" i="31" a="1"/>
  <c r="AK114" i="31" s="1"/>
  <c r="AK122" i="31" a="1"/>
  <c r="AK122" i="31" s="1"/>
  <c r="AK130" i="31" a="1"/>
  <c r="AK130" i="31" s="1"/>
  <c r="AK61" i="31" a="1"/>
  <c r="AK61" i="31" s="1"/>
  <c r="AK69" i="31" a="1"/>
  <c r="AK69" i="31" s="1"/>
  <c r="AK77" i="31" a="1"/>
  <c r="AK77" i="31" s="1"/>
  <c r="AK85" i="31" a="1"/>
  <c r="AK85" i="31" s="1"/>
  <c r="AK93" i="31" a="1"/>
  <c r="AK93" i="31" s="1"/>
  <c r="AK101" i="31" a="1"/>
  <c r="AK101" i="31" s="1"/>
  <c r="AK109" i="31" a="1"/>
  <c r="AK109" i="31" s="1"/>
  <c r="AK117" i="31" a="1"/>
  <c r="AK117" i="31" s="1"/>
  <c r="AK125" i="31" a="1"/>
  <c r="AK125" i="31" s="1"/>
  <c r="AK48" i="31" a="1"/>
  <c r="AK48" i="31" s="1"/>
  <c r="AK56" i="31" a="1"/>
  <c r="AK56" i="31" s="1"/>
  <c r="AK64" i="31" a="1"/>
  <c r="AK64" i="31" s="1"/>
  <c r="AK72" i="31" a="1"/>
  <c r="AK72" i="31" s="1"/>
  <c r="AK80" i="31" a="1"/>
  <c r="AK80" i="31" s="1"/>
  <c r="AK88" i="31" a="1"/>
  <c r="AK88" i="31" s="1"/>
  <c r="AK96" i="31" a="1"/>
  <c r="AK96" i="31" s="1"/>
  <c r="AK104" i="31" a="1"/>
  <c r="AK104" i="31" s="1"/>
  <c r="AK112" i="31" a="1"/>
  <c r="AK112" i="31" s="1"/>
  <c r="AK120" i="31" a="1"/>
  <c r="AK120" i="31" s="1"/>
  <c r="AK128" i="31" a="1"/>
  <c r="AK128" i="31" s="1"/>
  <c r="AK67" i="31" a="1"/>
  <c r="AK67" i="31" s="1"/>
  <c r="AK75" i="31" a="1"/>
  <c r="AK75" i="31" s="1"/>
  <c r="AK83" i="31" a="1"/>
  <c r="AK83" i="31" s="1"/>
  <c r="AK91" i="31" a="1"/>
  <c r="AK91" i="31" s="1"/>
  <c r="AK99" i="31" a="1"/>
  <c r="AK99" i="31" s="1"/>
  <c r="AK107" i="31" a="1"/>
  <c r="AK107" i="31" s="1"/>
  <c r="AK123" i="31" a="1"/>
  <c r="AK123" i="31" s="1"/>
  <c r="AJ31" i="31" a="1"/>
  <c r="AJ31" i="31" s="1"/>
  <c r="AJ39" i="31" a="1"/>
  <c r="AJ39" i="31" s="1"/>
  <c r="AJ27" i="31" a="1"/>
  <c r="AJ27" i="31" s="1"/>
  <c r="AJ47" i="31" a="1"/>
  <c r="AJ47" i="31" s="1"/>
  <c r="AJ35" i="31" a="1"/>
  <c r="AJ35" i="31" s="1"/>
  <c r="AJ23" i="31" a="1"/>
  <c r="AJ23" i="31" s="1"/>
  <c r="AH7" i="31" a="1"/>
  <c r="AH7" i="31" s="1"/>
  <c r="AH15" i="31" a="1"/>
  <c r="AH15" i="31" s="1"/>
  <c r="AI7" i="31" a="1"/>
  <c r="AI7" i="31" s="1"/>
  <c r="AI11" i="31" a="1"/>
  <c r="AI11" i="31" s="1"/>
  <c r="AI15" i="31" a="1"/>
  <c r="AI15" i="31" s="1"/>
  <c r="AI19" i="31" a="1"/>
  <c r="AI19" i="31" s="1"/>
  <c r="AI23" i="31" a="1"/>
  <c r="AI23" i="31" s="1"/>
  <c r="AI27" i="31" a="1"/>
  <c r="AI27" i="31" s="1"/>
  <c r="AI31" i="31" a="1"/>
  <c r="AI31" i="31" s="1"/>
  <c r="AI35" i="31" a="1"/>
  <c r="AI35" i="31" s="1"/>
  <c r="AI39" i="31" a="1"/>
  <c r="AI39" i="31" s="1"/>
  <c r="AI43" i="31" a="1"/>
  <c r="AI43" i="31" s="1"/>
  <c r="AI47" i="31" a="1"/>
  <c r="AI47" i="31" s="1"/>
  <c r="AI51" i="31" a="1"/>
  <c r="AI51" i="31" s="1"/>
  <c r="AI55" i="31" a="1"/>
  <c r="AI55" i="31" s="1"/>
  <c r="AI59" i="31" a="1"/>
  <c r="AI59" i="31" s="1"/>
  <c r="AI63" i="31" a="1"/>
  <c r="AI63" i="31" s="1"/>
  <c r="AI67" i="31" a="1"/>
  <c r="AI67" i="31" s="1"/>
  <c r="AI71" i="31" a="1"/>
  <c r="AI71" i="31" s="1"/>
  <c r="AI75" i="31" a="1"/>
  <c r="AI75" i="31" s="1"/>
  <c r="AI79" i="31" a="1"/>
  <c r="AI79" i="31" s="1"/>
  <c r="AI83" i="31" a="1"/>
  <c r="AI83" i="31" s="1"/>
  <c r="AI87" i="31" a="1"/>
  <c r="AI87" i="31" s="1"/>
  <c r="AI91" i="31" a="1"/>
  <c r="AI91" i="31" s="1"/>
  <c r="AI95" i="31" a="1"/>
  <c r="AI95" i="31" s="1"/>
  <c r="AI99" i="31" a="1"/>
  <c r="AI99" i="31" s="1"/>
  <c r="AI103" i="31" a="1"/>
  <c r="AI103" i="31" s="1"/>
  <c r="AI107" i="31" a="1"/>
  <c r="AI107" i="31" s="1"/>
  <c r="AI111" i="31" a="1"/>
  <c r="AI111" i="31" s="1"/>
  <c r="AI115" i="31" a="1"/>
  <c r="AI115" i="31" s="1"/>
  <c r="AI119" i="31" a="1"/>
  <c r="AI119" i="31" s="1"/>
  <c r="AI123" i="31" a="1"/>
  <c r="AI123" i="31" s="1"/>
  <c r="AI127" i="31" a="1"/>
  <c r="AI127" i="31" s="1"/>
  <c r="AI131" i="31" a="1"/>
  <c r="AI131" i="31" s="1"/>
  <c r="AH6" i="31" a="1"/>
  <c r="AH6" i="31" s="1"/>
  <c r="AH10" i="31" a="1"/>
  <c r="AH10" i="31" s="1"/>
  <c r="AH26" i="31" a="1"/>
  <c r="AH26" i="31" s="1"/>
  <c r="AH42" i="31" a="1"/>
  <c r="AH42" i="31" s="1"/>
  <c r="AH54" i="31" a="1"/>
  <c r="AH54" i="31" s="1"/>
  <c r="AJ55" i="31" a="1"/>
  <c r="AJ55" i="31" s="1"/>
  <c r="AH58" i="31" a="1"/>
  <c r="AH58" i="31" s="1"/>
  <c r="AJ59" i="31" a="1"/>
  <c r="AJ59" i="31" s="1"/>
  <c r="AH62" i="31" a="1"/>
  <c r="AH62" i="31" s="1"/>
  <c r="AJ63" i="31" a="1"/>
  <c r="AJ63" i="31" s="1"/>
  <c r="AH66" i="31" a="1"/>
  <c r="AH66" i="31" s="1"/>
  <c r="AJ67" i="31" a="1"/>
  <c r="AJ67" i="31" s="1"/>
  <c r="AH70" i="31" a="1"/>
  <c r="AH70" i="31" s="1"/>
  <c r="AJ71" i="31" a="1"/>
  <c r="AJ71" i="31" s="1"/>
  <c r="AH74" i="31" a="1"/>
  <c r="AH74" i="31" s="1"/>
  <c r="AJ75" i="31" a="1"/>
  <c r="AJ75" i="31" s="1"/>
  <c r="AH78" i="31" a="1"/>
  <c r="AH78" i="31" s="1"/>
  <c r="AJ79" i="31" a="1"/>
  <c r="AJ79" i="31" s="1"/>
  <c r="AH82" i="31" a="1"/>
  <c r="AH82" i="31" s="1"/>
  <c r="AJ83" i="31" a="1"/>
  <c r="AJ83" i="31" s="1"/>
  <c r="AH86" i="31" a="1"/>
  <c r="AH86" i="31" s="1"/>
  <c r="AJ87" i="31" a="1"/>
  <c r="AJ87" i="31" s="1"/>
  <c r="AH90" i="31" a="1"/>
  <c r="AH90" i="31" s="1"/>
  <c r="AJ91" i="31" a="1"/>
  <c r="AJ91" i="31" s="1"/>
  <c r="AH94" i="31" a="1"/>
  <c r="AH94" i="31" s="1"/>
  <c r="AJ95" i="31" a="1"/>
  <c r="AJ95" i="31" s="1"/>
  <c r="AH98" i="31" a="1"/>
  <c r="AH98" i="31" s="1"/>
  <c r="AJ99" i="31" a="1"/>
  <c r="AJ99" i="31" s="1"/>
  <c r="AH102" i="31" a="1"/>
  <c r="AH102" i="31" s="1"/>
  <c r="AJ103" i="31" a="1"/>
  <c r="AJ103" i="31" s="1"/>
  <c r="AH106" i="31" a="1"/>
  <c r="AH106" i="31" s="1"/>
  <c r="AJ107" i="31" a="1"/>
  <c r="AJ107" i="31" s="1"/>
  <c r="AH110" i="31" a="1"/>
  <c r="AH110" i="31" s="1"/>
  <c r="AJ111" i="31" a="1"/>
  <c r="AJ111" i="31" s="1"/>
  <c r="AH114" i="31" a="1"/>
  <c r="AH114" i="31" s="1"/>
  <c r="AJ115" i="31" a="1"/>
  <c r="AJ115" i="31" s="1"/>
  <c r="AH118" i="31" a="1"/>
  <c r="AH118" i="31" s="1"/>
  <c r="AJ119" i="31" a="1"/>
  <c r="AJ119" i="31" s="1"/>
  <c r="AH122" i="31" a="1"/>
  <c r="AH122" i="31" s="1"/>
  <c r="AJ123" i="31" a="1"/>
  <c r="AJ123" i="31" s="1"/>
  <c r="AH126" i="31" a="1"/>
  <c r="AH126" i="31" s="1"/>
  <c r="AJ127" i="31" a="1"/>
  <c r="AJ127" i="31" s="1"/>
  <c r="AH130" i="31" a="1"/>
  <c r="AH130" i="31" s="1"/>
  <c r="AJ131" i="31" a="1"/>
  <c r="AJ131" i="31" s="1"/>
  <c r="AI18" i="31" a="1"/>
  <c r="AI18" i="31" s="1"/>
  <c r="AI22" i="31" a="1"/>
  <c r="AI22" i="31" s="1"/>
  <c r="AI26" i="31" a="1"/>
  <c r="AI26" i="31" s="1"/>
  <c r="AI30" i="31" a="1"/>
  <c r="AI30" i="31" s="1"/>
  <c r="AI34" i="31" a="1"/>
  <c r="AI34" i="31" s="1"/>
  <c r="AI38" i="31" a="1"/>
  <c r="AI38" i="31" s="1"/>
  <c r="AI42" i="31" a="1"/>
  <c r="AI42" i="31" s="1"/>
  <c r="AI46" i="31" a="1"/>
  <c r="AI46" i="31" s="1"/>
  <c r="AI50" i="31" a="1"/>
  <c r="AI50" i="31" s="1"/>
  <c r="AI54" i="31" a="1"/>
  <c r="AI54" i="31" s="1"/>
  <c r="AI58" i="31" a="1"/>
  <c r="AI58" i="31" s="1"/>
  <c r="AI62" i="31" a="1"/>
  <c r="AI62" i="31" s="1"/>
  <c r="AI66" i="31" a="1"/>
  <c r="AI66" i="31" s="1"/>
  <c r="AI70" i="31" a="1"/>
  <c r="AI70" i="31" s="1"/>
  <c r="AI74" i="31" a="1"/>
  <c r="AI74" i="31" s="1"/>
  <c r="AI78" i="31" a="1"/>
  <c r="AI78" i="31" s="1"/>
  <c r="AI82" i="31" a="1"/>
  <c r="AI82" i="31" s="1"/>
  <c r="AI86" i="31" a="1"/>
  <c r="AI86" i="31" s="1"/>
  <c r="AI90" i="31" a="1"/>
  <c r="AI90" i="31" s="1"/>
  <c r="AI94" i="31" a="1"/>
  <c r="AI94" i="31" s="1"/>
  <c r="AI98" i="31" a="1"/>
  <c r="AI98" i="31" s="1"/>
  <c r="AI102" i="31" a="1"/>
  <c r="AI102" i="31" s="1"/>
  <c r="AI106" i="31" a="1"/>
  <c r="AI106" i="31" s="1"/>
  <c r="AI110" i="31" a="1"/>
  <c r="AI110" i="31" s="1"/>
  <c r="AI114" i="31" a="1"/>
  <c r="AI114" i="31" s="1"/>
  <c r="AI118" i="31" a="1"/>
  <c r="AI118" i="31" s="1"/>
  <c r="AI122" i="31" a="1"/>
  <c r="AI122" i="31" s="1"/>
  <c r="AI126" i="31" a="1"/>
  <c r="AI126" i="31" s="1"/>
  <c r="AI130" i="31" a="1"/>
  <c r="AI130" i="31" s="1"/>
  <c r="AH18" i="31" a="1"/>
  <c r="AH18" i="31" s="1"/>
  <c r="AH34" i="31" a="1"/>
  <c r="AH34" i="31" s="1"/>
  <c r="AH50" i="31" a="1"/>
  <c r="AH50" i="31" s="1"/>
  <c r="AI14" i="31" a="1"/>
  <c r="AI14" i="31" s="1"/>
  <c r="AJ6" i="31" a="1"/>
  <c r="AJ6" i="31" s="1"/>
  <c r="AH9" i="31" a="1"/>
  <c r="AH9" i="31" s="1"/>
  <c r="AJ10" i="31" a="1"/>
  <c r="AJ10" i="31" s="1"/>
  <c r="AH13" i="31" a="1"/>
  <c r="AH13" i="31" s="1"/>
  <c r="AJ14" i="31" a="1"/>
  <c r="AJ14" i="31" s="1"/>
  <c r="AH17" i="31" a="1"/>
  <c r="AH17" i="31" s="1"/>
  <c r="AJ18" i="31" a="1"/>
  <c r="AJ18" i="31" s="1"/>
  <c r="AH21" i="31" a="1"/>
  <c r="AH21" i="31" s="1"/>
  <c r="AJ22" i="31" a="1"/>
  <c r="AJ22" i="31" s="1"/>
  <c r="AH25" i="31" a="1"/>
  <c r="AH25" i="31" s="1"/>
  <c r="AJ26" i="31" a="1"/>
  <c r="AJ26" i="31" s="1"/>
  <c r="AH29" i="31" a="1"/>
  <c r="AH29" i="31" s="1"/>
  <c r="AJ30" i="31" a="1"/>
  <c r="AJ30" i="31" s="1"/>
  <c r="AH33" i="31" a="1"/>
  <c r="AH33" i="31" s="1"/>
  <c r="AJ34" i="31" a="1"/>
  <c r="AJ34" i="31" s="1"/>
  <c r="AH37" i="31" a="1"/>
  <c r="AH37" i="31" s="1"/>
  <c r="AJ38" i="31" a="1"/>
  <c r="AJ38" i="31" s="1"/>
  <c r="AH41" i="31" a="1"/>
  <c r="AH41" i="31" s="1"/>
  <c r="AJ42" i="31" a="1"/>
  <c r="AJ42" i="31" s="1"/>
  <c r="AH45" i="31" a="1"/>
  <c r="AH45" i="31" s="1"/>
  <c r="AJ46" i="31" a="1"/>
  <c r="AJ46" i="31" s="1"/>
  <c r="AH49" i="31" a="1"/>
  <c r="AH49" i="31" s="1"/>
  <c r="AJ50" i="31" a="1"/>
  <c r="AJ50" i="31" s="1"/>
  <c r="AH53" i="31" a="1"/>
  <c r="AH53" i="31" s="1"/>
  <c r="AJ54" i="31" a="1"/>
  <c r="AJ54" i="31" s="1"/>
  <c r="AH57" i="31" a="1"/>
  <c r="AH57" i="31" s="1"/>
  <c r="AJ58" i="31" a="1"/>
  <c r="AJ58" i="31" s="1"/>
  <c r="AH61" i="31" a="1"/>
  <c r="AH61" i="31" s="1"/>
  <c r="AJ62" i="31" a="1"/>
  <c r="AJ62" i="31" s="1"/>
  <c r="AH65" i="31" a="1"/>
  <c r="AH65" i="31" s="1"/>
  <c r="AJ66" i="31" a="1"/>
  <c r="AJ66" i="31" s="1"/>
  <c r="AH69" i="31" a="1"/>
  <c r="AH69" i="31" s="1"/>
  <c r="AJ70" i="31" a="1"/>
  <c r="AJ70" i="31" s="1"/>
  <c r="AH73" i="31" a="1"/>
  <c r="AH73" i="31" s="1"/>
  <c r="AJ74" i="31" a="1"/>
  <c r="AJ74" i="31" s="1"/>
  <c r="AH77" i="31" a="1"/>
  <c r="AH77" i="31" s="1"/>
  <c r="AJ78" i="31" a="1"/>
  <c r="AJ78" i="31" s="1"/>
  <c r="AH81" i="31" a="1"/>
  <c r="AH81" i="31" s="1"/>
  <c r="AJ82" i="31" a="1"/>
  <c r="AJ82" i="31" s="1"/>
  <c r="AH85" i="31" a="1"/>
  <c r="AH85" i="31" s="1"/>
  <c r="AJ86" i="31" a="1"/>
  <c r="AJ86" i="31" s="1"/>
  <c r="AH89" i="31" a="1"/>
  <c r="AH89" i="31" s="1"/>
  <c r="AJ90" i="31" a="1"/>
  <c r="AJ90" i="31" s="1"/>
  <c r="AH93" i="31" a="1"/>
  <c r="AH93" i="31" s="1"/>
  <c r="AJ94" i="31" a="1"/>
  <c r="AJ94" i="31" s="1"/>
  <c r="AH97" i="31" a="1"/>
  <c r="AH97" i="31" s="1"/>
  <c r="AJ98" i="31" a="1"/>
  <c r="AJ98" i="31" s="1"/>
  <c r="AH101" i="31" a="1"/>
  <c r="AH101" i="31" s="1"/>
  <c r="AJ102" i="31" a="1"/>
  <c r="AJ102" i="31" s="1"/>
  <c r="AH105" i="31" a="1"/>
  <c r="AH105" i="31" s="1"/>
  <c r="AJ106" i="31" a="1"/>
  <c r="AJ106" i="31" s="1"/>
  <c r="AH109" i="31" a="1"/>
  <c r="AH109" i="31" s="1"/>
  <c r="AJ110" i="31" a="1"/>
  <c r="AJ110" i="31" s="1"/>
  <c r="AH113" i="31" a="1"/>
  <c r="AH113" i="31" s="1"/>
  <c r="AJ114" i="31" a="1"/>
  <c r="AJ114" i="31" s="1"/>
  <c r="AH117" i="31" a="1"/>
  <c r="AH117" i="31" s="1"/>
  <c r="AJ118" i="31" a="1"/>
  <c r="AJ118" i="31" s="1"/>
  <c r="AH121" i="31" a="1"/>
  <c r="AH121" i="31" s="1"/>
  <c r="AJ122" i="31" a="1"/>
  <c r="AJ122" i="31" s="1"/>
  <c r="AH125" i="31" a="1"/>
  <c r="AH125" i="31" s="1"/>
  <c r="AJ126" i="31" a="1"/>
  <c r="AJ126" i="31" s="1"/>
  <c r="AH129" i="31" a="1"/>
  <c r="AH129" i="31" s="1"/>
  <c r="AJ130" i="31" a="1"/>
  <c r="AJ130" i="31" s="1"/>
  <c r="AH22" i="31" a="1"/>
  <c r="AH22" i="31" s="1"/>
  <c r="AH38" i="31" a="1"/>
  <c r="AH38" i="31" s="1"/>
  <c r="AI9" i="31" a="1"/>
  <c r="AI9" i="31" s="1"/>
  <c r="AI13" i="31" a="1"/>
  <c r="AI13" i="31" s="1"/>
  <c r="AI21" i="31" a="1"/>
  <c r="AI21" i="31" s="1"/>
  <c r="AI33" i="31" a="1"/>
  <c r="AI33" i="31" s="1"/>
  <c r="AI37" i="31" a="1"/>
  <c r="AI37" i="31" s="1"/>
  <c r="AI41" i="31" a="1"/>
  <c r="AI41" i="31" s="1"/>
  <c r="AI45" i="31" a="1"/>
  <c r="AI45" i="31" s="1"/>
  <c r="AI49" i="31" a="1"/>
  <c r="AI49" i="31" s="1"/>
  <c r="AI53" i="31" a="1"/>
  <c r="AI53" i="31" s="1"/>
  <c r="AI57" i="31" a="1"/>
  <c r="AI57" i="31" s="1"/>
  <c r="AI61" i="31" a="1"/>
  <c r="AI61" i="31" s="1"/>
  <c r="AI65" i="31" a="1"/>
  <c r="AI65" i="31" s="1"/>
  <c r="AI69" i="31" a="1"/>
  <c r="AI69" i="31" s="1"/>
  <c r="AI73" i="31" a="1"/>
  <c r="AI73" i="31" s="1"/>
  <c r="AI77" i="31" a="1"/>
  <c r="AI77" i="31" s="1"/>
  <c r="AI81" i="31" a="1"/>
  <c r="AI81" i="31" s="1"/>
  <c r="AI85" i="31" a="1"/>
  <c r="AI85" i="31" s="1"/>
  <c r="AI89" i="31" a="1"/>
  <c r="AI89" i="31" s="1"/>
  <c r="AI93" i="31" a="1"/>
  <c r="AI93" i="31" s="1"/>
  <c r="AI97" i="31" a="1"/>
  <c r="AI97" i="31" s="1"/>
  <c r="AI101" i="31" a="1"/>
  <c r="AI101" i="31" s="1"/>
  <c r="AI105" i="31" a="1"/>
  <c r="AI105" i="31" s="1"/>
  <c r="AI109" i="31" a="1"/>
  <c r="AI109" i="31" s="1"/>
  <c r="AI113" i="31" a="1"/>
  <c r="AI113" i="31" s="1"/>
  <c r="AI117" i="31" a="1"/>
  <c r="AI117" i="31" s="1"/>
  <c r="AI121" i="31" a="1"/>
  <c r="AI121" i="31" s="1"/>
  <c r="AI125" i="31" a="1"/>
  <c r="AI125" i="31" s="1"/>
  <c r="AI129" i="31" a="1"/>
  <c r="AI129" i="31" s="1"/>
  <c r="AH14" i="31" a="1"/>
  <c r="AH14" i="31" s="1"/>
  <c r="AH30" i="31" a="1"/>
  <c r="AH30" i="31" s="1"/>
  <c r="AH46" i="31" a="1"/>
  <c r="AH46" i="31" s="1"/>
  <c r="AI6" i="31" a="1"/>
  <c r="AI6" i="31" s="1"/>
  <c r="AI10" i="31" a="1"/>
  <c r="AI10" i="31" s="1"/>
  <c r="AI17" i="31" a="1"/>
  <c r="AI17" i="31" s="1"/>
  <c r="AI25" i="31" a="1"/>
  <c r="AI25" i="31" s="1"/>
  <c r="AI29" i="31" a="1"/>
  <c r="AI29" i="31" s="1"/>
  <c r="AH8" i="31" a="1"/>
  <c r="AH8" i="31" s="1"/>
  <c r="AJ9" i="31" a="1"/>
  <c r="AJ9" i="31" s="1"/>
  <c r="AH12" i="31" a="1"/>
  <c r="AH12" i="31" s="1"/>
  <c r="AJ13" i="31" a="1"/>
  <c r="AJ13" i="31" s="1"/>
  <c r="AH16" i="31" a="1"/>
  <c r="AH16" i="31" s="1"/>
  <c r="AJ17" i="31" a="1"/>
  <c r="AJ17" i="31" s="1"/>
  <c r="AH20" i="31" a="1"/>
  <c r="AH20" i="31" s="1"/>
  <c r="AJ21" i="31" a="1"/>
  <c r="AJ21" i="31" s="1"/>
  <c r="AH24" i="31" a="1"/>
  <c r="AH24" i="31" s="1"/>
  <c r="AJ25" i="31" a="1"/>
  <c r="AJ25" i="31" s="1"/>
  <c r="AH28" i="31" a="1"/>
  <c r="AH28" i="31" s="1"/>
  <c r="AJ29" i="31" a="1"/>
  <c r="AJ29" i="31" s="1"/>
  <c r="AH32" i="31" a="1"/>
  <c r="AH32" i="31" s="1"/>
  <c r="AJ33" i="31" a="1"/>
  <c r="AJ33" i="31" s="1"/>
  <c r="AH36" i="31" a="1"/>
  <c r="AH36" i="31" s="1"/>
  <c r="AJ37" i="31" a="1"/>
  <c r="AJ37" i="31" s="1"/>
  <c r="AH40" i="31" a="1"/>
  <c r="AH40" i="31" s="1"/>
  <c r="AJ41" i="31" a="1"/>
  <c r="AJ41" i="31" s="1"/>
  <c r="AH44" i="31" a="1"/>
  <c r="AH44" i="31" s="1"/>
  <c r="AJ45" i="31" a="1"/>
  <c r="AJ45" i="31" s="1"/>
  <c r="AH48" i="31" a="1"/>
  <c r="AH48" i="31" s="1"/>
  <c r="AJ49" i="31" a="1"/>
  <c r="AJ49" i="31" s="1"/>
  <c r="AH52" i="31" a="1"/>
  <c r="AH52" i="31" s="1"/>
  <c r="AJ53" i="31" a="1"/>
  <c r="AJ53" i="31" s="1"/>
  <c r="AH56" i="31" a="1"/>
  <c r="AH56" i="31" s="1"/>
  <c r="AJ57" i="31" a="1"/>
  <c r="AJ57" i="31" s="1"/>
  <c r="AH60" i="31" a="1"/>
  <c r="AH60" i="31" s="1"/>
  <c r="AJ61" i="31" a="1"/>
  <c r="AJ61" i="31" s="1"/>
  <c r="AH64" i="31" a="1"/>
  <c r="AH64" i="31" s="1"/>
  <c r="AJ65" i="31" a="1"/>
  <c r="AJ65" i="31" s="1"/>
  <c r="AH68" i="31" a="1"/>
  <c r="AH68" i="31" s="1"/>
  <c r="AJ69" i="31" a="1"/>
  <c r="AJ69" i="31" s="1"/>
  <c r="AH72" i="31" a="1"/>
  <c r="AH72" i="31" s="1"/>
  <c r="AJ73" i="31" a="1"/>
  <c r="AJ73" i="31" s="1"/>
  <c r="AH76" i="31" a="1"/>
  <c r="AH76" i="31" s="1"/>
  <c r="AJ77" i="31" a="1"/>
  <c r="AJ77" i="31" s="1"/>
  <c r="AH80" i="31" a="1"/>
  <c r="AH80" i="31" s="1"/>
  <c r="AJ81" i="31" a="1"/>
  <c r="AJ81" i="31" s="1"/>
  <c r="AH84" i="31" a="1"/>
  <c r="AH84" i="31" s="1"/>
  <c r="AJ85" i="31" a="1"/>
  <c r="AJ85" i="31" s="1"/>
  <c r="AH88" i="31" a="1"/>
  <c r="AH88" i="31" s="1"/>
  <c r="AJ89" i="31" a="1"/>
  <c r="AJ89" i="31" s="1"/>
  <c r="AH92" i="31" a="1"/>
  <c r="AH92" i="31" s="1"/>
  <c r="AJ93" i="31" a="1"/>
  <c r="AJ93" i="31" s="1"/>
  <c r="AH96" i="31" a="1"/>
  <c r="AH96" i="31" s="1"/>
  <c r="AJ97" i="31" a="1"/>
  <c r="AJ97" i="31" s="1"/>
  <c r="AH100" i="31" a="1"/>
  <c r="AH100" i="31" s="1"/>
  <c r="AJ101" i="31" a="1"/>
  <c r="AJ101" i="31" s="1"/>
  <c r="AH104" i="31" a="1"/>
  <c r="AH104" i="31" s="1"/>
  <c r="AJ105" i="31" a="1"/>
  <c r="AJ105" i="31" s="1"/>
  <c r="AH108" i="31" a="1"/>
  <c r="AH108" i="31" s="1"/>
  <c r="AJ109" i="31" a="1"/>
  <c r="AJ109" i="31" s="1"/>
  <c r="AH112" i="31" a="1"/>
  <c r="AH112" i="31" s="1"/>
  <c r="AJ113" i="31" a="1"/>
  <c r="AJ113" i="31" s="1"/>
  <c r="AH116" i="31" a="1"/>
  <c r="AH116" i="31" s="1"/>
  <c r="AJ117" i="31" a="1"/>
  <c r="AJ117" i="31" s="1"/>
  <c r="AH120" i="31" a="1"/>
  <c r="AH120" i="31" s="1"/>
  <c r="AJ121" i="31" a="1"/>
  <c r="AJ121" i="31" s="1"/>
  <c r="AH124" i="31" a="1"/>
  <c r="AH124" i="31" s="1"/>
  <c r="AJ125" i="31" a="1"/>
  <c r="AJ125" i="31" s="1"/>
  <c r="AH128" i="31" a="1"/>
  <c r="AH128" i="31" s="1"/>
  <c r="AJ129" i="31" a="1"/>
  <c r="AJ129" i="31" s="1"/>
  <c r="AI28" i="31" a="1"/>
  <c r="AI28" i="31" s="1"/>
  <c r="AI32" i="31" a="1"/>
  <c r="AI32" i="31" s="1"/>
  <c r="AI36" i="31" a="1"/>
  <c r="AI36" i="31" s="1"/>
  <c r="AI40" i="31" a="1"/>
  <c r="AI40" i="31" s="1"/>
  <c r="AI44" i="31" a="1"/>
  <c r="AI44" i="31" s="1"/>
  <c r="AI48" i="31" a="1"/>
  <c r="AI48" i="31" s="1"/>
  <c r="AI52" i="31" a="1"/>
  <c r="AI52" i="31" s="1"/>
  <c r="AI56" i="31" a="1"/>
  <c r="AI56" i="31" s="1"/>
  <c r="AI60" i="31" a="1"/>
  <c r="AI60" i="31" s="1"/>
  <c r="AI64" i="31" a="1"/>
  <c r="AI64" i="31" s="1"/>
  <c r="AI68" i="31" a="1"/>
  <c r="AI68" i="31" s="1"/>
  <c r="AI72" i="31" a="1"/>
  <c r="AI72" i="31" s="1"/>
  <c r="AI76" i="31" a="1"/>
  <c r="AI76" i="31" s="1"/>
  <c r="AI80" i="31" a="1"/>
  <c r="AI80" i="31" s="1"/>
  <c r="AI84" i="31" a="1"/>
  <c r="AI84" i="31" s="1"/>
  <c r="AI88" i="31" a="1"/>
  <c r="AI88" i="31" s="1"/>
  <c r="AI92" i="31" a="1"/>
  <c r="AI92" i="31" s="1"/>
  <c r="AI96" i="31" a="1"/>
  <c r="AI96" i="31" s="1"/>
  <c r="AI100" i="31" a="1"/>
  <c r="AI100" i="31" s="1"/>
  <c r="AI104" i="31" a="1"/>
  <c r="AI104" i="31" s="1"/>
  <c r="AI108" i="31" a="1"/>
  <c r="AI108" i="31" s="1"/>
  <c r="AI112" i="31" a="1"/>
  <c r="AI112" i="31" s="1"/>
  <c r="AI116" i="31" a="1"/>
  <c r="AI116" i="31" s="1"/>
  <c r="AI120" i="31" a="1"/>
  <c r="AI120" i="31" s="1"/>
  <c r="AI124" i="31" a="1"/>
  <c r="AI124" i="31" s="1"/>
  <c r="AI128" i="31" a="1"/>
  <c r="AI128" i="31" s="1"/>
  <c r="AH11" i="31" a="1"/>
  <c r="AH11" i="31" s="1"/>
  <c r="AJ20" i="31" a="1"/>
  <c r="AJ20" i="31" s="1"/>
  <c r="AH23" i="31" a="1"/>
  <c r="AH23" i="31" s="1"/>
  <c r="AJ24" i="31" a="1"/>
  <c r="AJ24" i="31" s="1"/>
  <c r="AH27" i="31" a="1"/>
  <c r="AH27" i="31" s="1"/>
  <c r="AJ28" i="31" a="1"/>
  <c r="AJ28" i="31" s="1"/>
  <c r="AH31" i="31" a="1"/>
  <c r="AH31" i="31" s="1"/>
  <c r="AJ32" i="31" a="1"/>
  <c r="AJ32" i="31" s="1"/>
  <c r="AH35" i="31" a="1"/>
  <c r="AH35" i="31" s="1"/>
  <c r="AJ36" i="31" a="1"/>
  <c r="AJ36" i="31" s="1"/>
  <c r="AH39" i="31" a="1"/>
  <c r="AH39" i="31" s="1"/>
  <c r="AJ40" i="31" a="1"/>
  <c r="AJ40" i="31" s="1"/>
  <c r="AH43" i="31" a="1"/>
  <c r="AH43" i="31" s="1"/>
  <c r="AJ44" i="31" a="1"/>
  <c r="AJ44" i="31" s="1"/>
  <c r="AH47" i="31" a="1"/>
  <c r="AH47" i="31" s="1"/>
  <c r="AJ48" i="31" a="1"/>
  <c r="AJ48" i="31" s="1"/>
  <c r="AH51" i="31" a="1"/>
  <c r="AH51" i="31" s="1"/>
  <c r="AJ52" i="31" a="1"/>
  <c r="AJ52" i="31" s="1"/>
  <c r="AH55" i="31" a="1"/>
  <c r="AH55" i="31" s="1"/>
  <c r="AJ56" i="31" a="1"/>
  <c r="AJ56" i="31" s="1"/>
  <c r="AH59" i="31" a="1"/>
  <c r="AH59" i="31" s="1"/>
  <c r="AJ60" i="31" a="1"/>
  <c r="AJ60" i="31" s="1"/>
  <c r="AH63" i="31" a="1"/>
  <c r="AH63" i="31" s="1"/>
  <c r="AJ64" i="31" a="1"/>
  <c r="AJ64" i="31" s="1"/>
  <c r="AH67" i="31" a="1"/>
  <c r="AH67" i="31" s="1"/>
  <c r="AJ68" i="31" a="1"/>
  <c r="AJ68" i="31" s="1"/>
  <c r="AH71" i="31" a="1"/>
  <c r="AH71" i="31" s="1"/>
  <c r="AJ72" i="31" a="1"/>
  <c r="AJ72" i="31" s="1"/>
  <c r="AH75" i="31" a="1"/>
  <c r="AH75" i="31" s="1"/>
  <c r="AJ76" i="31" a="1"/>
  <c r="AJ76" i="31" s="1"/>
  <c r="AH79" i="31" a="1"/>
  <c r="AH79" i="31" s="1"/>
  <c r="AJ80" i="31" a="1"/>
  <c r="AJ80" i="31" s="1"/>
  <c r="AH83" i="31" a="1"/>
  <c r="AH83" i="31" s="1"/>
  <c r="AJ84" i="31" a="1"/>
  <c r="AJ84" i="31" s="1"/>
  <c r="AH87" i="31" a="1"/>
  <c r="AH87" i="31" s="1"/>
  <c r="AJ88" i="31" a="1"/>
  <c r="AJ88" i="31" s="1"/>
  <c r="AH91" i="31" a="1"/>
  <c r="AH91" i="31" s="1"/>
  <c r="AJ92" i="31" a="1"/>
  <c r="AJ92" i="31" s="1"/>
  <c r="AH95" i="31" a="1"/>
  <c r="AH95" i="31" s="1"/>
  <c r="AJ96" i="31" a="1"/>
  <c r="AJ96" i="31" s="1"/>
  <c r="AH99" i="31" a="1"/>
  <c r="AH99" i="31" s="1"/>
  <c r="AJ100" i="31" a="1"/>
  <c r="AJ100" i="31" s="1"/>
  <c r="AH103" i="31" a="1"/>
  <c r="AH103" i="31" s="1"/>
  <c r="AJ104" i="31" a="1"/>
  <c r="AJ104" i="31" s="1"/>
  <c r="AH107" i="31" a="1"/>
  <c r="AH107" i="31" s="1"/>
  <c r="AJ108" i="31" a="1"/>
  <c r="AJ108" i="31" s="1"/>
  <c r="AH111" i="31" a="1"/>
  <c r="AH111" i="31" s="1"/>
  <c r="AJ112" i="31" a="1"/>
  <c r="AJ112" i="31" s="1"/>
  <c r="AH115" i="31" a="1"/>
  <c r="AH115" i="31" s="1"/>
  <c r="AJ116" i="31" a="1"/>
  <c r="AJ116" i="31" s="1"/>
  <c r="AH119" i="31" a="1"/>
  <c r="AH119" i="31" s="1"/>
  <c r="AJ120" i="31" a="1"/>
  <c r="AJ120" i="31" s="1"/>
  <c r="AH123" i="31" a="1"/>
  <c r="AH123" i="31" s="1"/>
  <c r="AJ124" i="31" a="1"/>
  <c r="AJ124" i="31" s="1"/>
  <c r="AH127" i="31" a="1"/>
  <c r="AH127" i="31" s="1"/>
  <c r="AE21" i="31" a="1"/>
  <c r="AE21" i="31" s="1"/>
  <c r="AF24" i="31" a="1"/>
  <c r="AF24" i="31" s="1"/>
  <c r="AF20" i="31" a="1"/>
  <c r="AF20" i="31" s="1"/>
  <c r="AE43" i="31" a="1"/>
  <c r="AE43" i="31" s="1"/>
  <c r="AF43" i="31" a="1"/>
  <c r="AF43" i="31" s="1"/>
  <c r="AG57" i="31" a="1"/>
  <c r="AG57" i="31" s="1"/>
  <c r="AE19" i="31" a="1"/>
  <c r="AE19" i="31" s="1"/>
  <c r="AF32" i="31" a="1"/>
  <c r="AF32" i="31" s="1"/>
  <c r="AG39" i="31" a="1"/>
  <c r="AG39" i="31" s="1"/>
  <c r="AG50" i="31" a="1"/>
  <c r="AG50" i="31" s="1"/>
  <c r="AG59" i="31" a="1"/>
  <c r="AG59" i="31" s="1"/>
  <c r="AE20" i="31" a="1"/>
  <c r="AE20" i="31" s="1"/>
  <c r="AE9" i="31" a="1"/>
  <c r="AE9" i="31" s="1"/>
  <c r="AE17" i="31" a="1"/>
  <c r="AE17" i="31" s="1"/>
  <c r="AE122" i="31" a="1"/>
  <c r="AE122" i="31" s="1"/>
  <c r="AE110" i="31" a="1"/>
  <c r="AE110" i="31" s="1"/>
  <c r="AE103" i="31" a="1"/>
  <c r="AE103" i="31" s="1"/>
  <c r="AE102" i="31" a="1"/>
  <c r="AE102" i="31" s="1"/>
  <c r="AE131" i="31" a="1"/>
  <c r="AE131" i="31" s="1"/>
  <c r="AE128" i="31" a="1"/>
  <c r="AE128" i="31" s="1"/>
  <c r="AE125" i="31" a="1"/>
  <c r="AE125" i="31" s="1"/>
  <c r="AE114" i="31" a="1"/>
  <c r="AE114" i="31" s="1"/>
  <c r="AE107" i="31" a="1"/>
  <c r="AE107" i="31" s="1"/>
  <c r="AE104" i="31" a="1"/>
  <c r="AE104" i="31" s="1"/>
  <c r="AE97" i="31" a="1"/>
  <c r="AE97" i="31" s="1"/>
  <c r="AE92" i="31" a="1"/>
  <c r="AE92" i="31" s="1"/>
  <c r="AE117" i="31" a="1"/>
  <c r="AE117" i="31" s="1"/>
  <c r="AE111" i="31" a="1"/>
  <c r="AE111" i="31" s="1"/>
  <c r="AE108" i="31" a="1"/>
  <c r="AE108" i="31" s="1"/>
  <c r="AE101" i="31" a="1"/>
  <c r="AE101" i="31" s="1"/>
  <c r="AE96" i="31" a="1"/>
  <c r="AE96" i="31" s="1"/>
  <c r="AE91" i="31" a="1"/>
  <c r="AE91" i="31" s="1"/>
  <c r="AE129" i="31" a="1"/>
  <c r="AE129" i="31" s="1"/>
  <c r="AE120" i="31" a="1"/>
  <c r="AE120" i="31" s="1"/>
  <c r="AE105" i="31" a="1"/>
  <c r="AE105" i="31" s="1"/>
  <c r="AE126" i="31" a="1"/>
  <c r="AE126" i="31" s="1"/>
  <c r="AE123" i="31" a="1"/>
  <c r="AE123" i="31" s="1"/>
  <c r="AE100" i="31" a="1"/>
  <c r="AE100" i="31" s="1"/>
  <c r="AE95" i="31" a="1"/>
  <c r="AE95" i="31" s="1"/>
  <c r="AE90" i="31" a="1"/>
  <c r="AE90" i="31" s="1"/>
  <c r="AE124" i="31" a="1"/>
  <c r="AE124" i="31" s="1"/>
  <c r="AE121" i="31" a="1"/>
  <c r="AE121" i="31" s="1"/>
  <c r="AE118" i="31" a="1"/>
  <c r="AE118" i="31" s="1"/>
  <c r="AE115" i="31" a="1"/>
  <c r="AE115" i="31" s="1"/>
  <c r="AE112" i="31" a="1"/>
  <c r="AE112" i="31" s="1"/>
  <c r="AE109" i="31" a="1"/>
  <c r="AE109" i="31" s="1"/>
  <c r="AE106" i="31" a="1"/>
  <c r="AE106" i="31" s="1"/>
  <c r="AE94" i="31" a="1"/>
  <c r="AE94" i="31" s="1"/>
  <c r="AE84" i="31" a="1"/>
  <c r="AE84" i="31" s="1"/>
  <c r="AE83" i="31" a="1"/>
  <c r="AE83" i="31" s="1"/>
  <c r="AE82" i="31" a="1"/>
  <c r="AE82" i="31" s="1"/>
  <c r="AE81" i="31" a="1"/>
  <c r="AE81" i="31" s="1"/>
  <c r="AE78" i="31" a="1"/>
  <c r="AE78" i="31" s="1"/>
  <c r="AE62" i="31" a="1"/>
  <c r="AE62" i="31" s="1"/>
  <c r="AE130" i="31" a="1"/>
  <c r="AE130" i="31" s="1"/>
  <c r="AE127" i="31" a="1"/>
  <c r="AE127" i="31" s="1"/>
  <c r="AE116" i="31" a="1"/>
  <c r="AE116" i="31" s="1"/>
  <c r="AE99" i="31" a="1"/>
  <c r="AE99" i="31" s="1"/>
  <c r="AE89" i="31" a="1"/>
  <c r="AE89" i="31" s="1"/>
  <c r="AE119" i="31" a="1"/>
  <c r="AE119" i="31" s="1"/>
  <c r="AE80" i="31" a="1"/>
  <c r="AE80" i="31" s="1"/>
  <c r="AE73" i="31" a="1"/>
  <c r="AE73" i="31" s="1"/>
  <c r="AE72" i="31" a="1"/>
  <c r="AE72" i="31" s="1"/>
  <c r="AE64" i="31" a="1"/>
  <c r="AE64" i="31" s="1"/>
  <c r="AE54" i="31" a="1"/>
  <c r="AE54" i="31" s="1"/>
  <c r="AE48" i="31" a="1"/>
  <c r="AE48" i="31" s="1"/>
  <c r="AE38" i="31" a="1"/>
  <c r="AE38" i="31" s="1"/>
  <c r="AE87" i="31" a="1"/>
  <c r="AE87" i="31" s="1"/>
  <c r="AE53" i="31" a="1"/>
  <c r="AE53" i="31" s="1"/>
  <c r="AE49" i="31" a="1"/>
  <c r="AE49" i="31" s="1"/>
  <c r="AE39" i="31" a="1"/>
  <c r="AE39" i="31" s="1"/>
  <c r="AE113" i="31" a="1"/>
  <c r="AE113" i="31" s="1"/>
  <c r="AE74" i="31" a="1"/>
  <c r="AE74" i="31" s="1"/>
  <c r="AE65" i="31" a="1"/>
  <c r="AE65" i="31" s="1"/>
  <c r="AE52" i="31" a="1"/>
  <c r="AE52" i="31" s="1"/>
  <c r="AE50" i="31" a="1"/>
  <c r="AE50" i="31" s="1"/>
  <c r="AE66" i="31" a="1"/>
  <c r="AE66" i="31" s="1"/>
  <c r="AE51" i="31" a="1"/>
  <c r="AE51" i="31" s="1"/>
  <c r="AE40" i="31" a="1"/>
  <c r="AE40" i="31" s="1"/>
  <c r="AE77" i="31" a="1"/>
  <c r="AE77" i="31" s="1"/>
  <c r="AE76" i="31" a="1"/>
  <c r="AE76" i="31" s="1"/>
  <c r="AE75" i="31" a="1"/>
  <c r="AE75" i="31" s="1"/>
  <c r="AE88" i="31" a="1"/>
  <c r="AE88" i="31" s="1"/>
  <c r="AE85" i="31" a="1"/>
  <c r="AE85" i="31" s="1"/>
  <c r="AE79" i="31" a="1"/>
  <c r="AE79" i="31" s="1"/>
  <c r="AE68" i="31" a="1"/>
  <c r="AE68" i="31" s="1"/>
  <c r="AE67" i="31" a="1"/>
  <c r="AE67" i="31" s="1"/>
  <c r="AE42" i="31" a="1"/>
  <c r="AE42" i="31" s="1"/>
  <c r="AE31" i="31" a="1"/>
  <c r="AE31" i="31" s="1"/>
  <c r="AE98" i="31" a="1"/>
  <c r="AE98" i="31" s="1"/>
  <c r="AE69" i="31" a="1"/>
  <c r="AE69" i="31" s="1"/>
  <c r="AE61" i="31" a="1"/>
  <c r="AE61" i="31" s="1"/>
  <c r="AE93" i="31" a="1"/>
  <c r="AE93" i="31" s="1"/>
  <c r="AE86" i="31" a="1"/>
  <c r="AE86" i="31" s="1"/>
  <c r="AE71" i="31" a="1"/>
  <c r="AE71" i="31" s="1"/>
  <c r="AE70" i="31" a="1"/>
  <c r="AE70" i="31" s="1"/>
  <c r="AE63" i="31" a="1"/>
  <c r="AE63" i="31" s="1"/>
  <c r="AE60" i="31" a="1"/>
  <c r="AE60" i="31" s="1"/>
  <c r="AF7" i="31" a="1"/>
  <c r="AF7" i="31" s="1"/>
  <c r="AF9" i="31" a="1"/>
  <c r="AF9" i="31" s="1"/>
  <c r="AF11" i="31" a="1"/>
  <c r="AF11" i="31" s="1"/>
  <c r="AF13" i="31" a="1"/>
  <c r="AF13" i="31" s="1"/>
  <c r="AF15" i="31" a="1"/>
  <c r="AF15" i="31" s="1"/>
  <c r="AF17" i="31" a="1"/>
  <c r="AF17" i="31" s="1"/>
  <c r="AF19" i="31" a="1"/>
  <c r="AF19" i="31" s="1"/>
  <c r="AF21" i="31" a="1"/>
  <c r="AF21" i="31" s="1"/>
  <c r="AE23" i="31" a="1"/>
  <c r="AE23" i="31" s="1"/>
  <c r="AE27" i="31" a="1"/>
  <c r="AE27" i="31" s="1"/>
  <c r="AG28" i="31" a="1"/>
  <c r="AG28" i="31" s="1"/>
  <c r="AG32" i="31" a="1"/>
  <c r="AG32" i="31" s="1"/>
  <c r="AE35" i="31" a="1"/>
  <c r="AE35" i="31" s="1"/>
  <c r="AG51" i="31" a="1"/>
  <c r="AG51" i="31" s="1"/>
  <c r="AE7" i="31" a="1"/>
  <c r="AE7" i="31" s="1"/>
  <c r="AE11" i="31" a="1"/>
  <c r="AE11" i="31" s="1"/>
  <c r="AE15" i="31" a="1"/>
  <c r="AE15" i="31" s="1"/>
  <c r="AF131" i="31" a="1"/>
  <c r="AF131" i="31" s="1"/>
  <c r="AF128" i="31" a="1"/>
  <c r="AF128" i="31" s="1"/>
  <c r="AF125" i="31" a="1"/>
  <c r="AF125" i="31" s="1"/>
  <c r="AF114" i="31" a="1"/>
  <c r="AF114" i="31" s="1"/>
  <c r="AF107" i="31" a="1"/>
  <c r="AF107" i="31" s="1"/>
  <c r="AF104" i="31" a="1"/>
  <c r="AF104" i="31" s="1"/>
  <c r="AF101" i="31" a="1"/>
  <c r="AF101" i="31" s="1"/>
  <c r="AF117" i="31" a="1"/>
  <c r="AF117" i="31" s="1"/>
  <c r="AF111" i="31" a="1"/>
  <c r="AF111" i="31" s="1"/>
  <c r="AF108" i="31" a="1"/>
  <c r="AF108" i="31" s="1"/>
  <c r="AF96" i="31" a="1"/>
  <c r="AF96" i="31" s="1"/>
  <c r="AF129" i="31" a="1"/>
  <c r="AF129" i="31" s="1"/>
  <c r="AF120" i="31" a="1"/>
  <c r="AF120" i="31" s="1"/>
  <c r="AF105" i="31" a="1"/>
  <c r="AF105" i="31" s="1"/>
  <c r="AF100" i="31" a="1"/>
  <c r="AF100" i="31" s="1"/>
  <c r="AF95" i="31" a="1"/>
  <c r="AF95" i="31" s="1"/>
  <c r="AF90" i="31" a="1"/>
  <c r="AF90" i="31" s="1"/>
  <c r="AF85" i="31" a="1"/>
  <c r="AF85" i="31" s="1"/>
  <c r="AF126" i="31" a="1"/>
  <c r="AF126" i="31" s="1"/>
  <c r="AF123" i="31" a="1"/>
  <c r="AF123" i="31" s="1"/>
  <c r="AF84" i="31" a="1"/>
  <c r="AF84" i="31" s="1"/>
  <c r="AF82" i="31" a="1"/>
  <c r="AF82" i="31" s="1"/>
  <c r="AF80" i="31" a="1"/>
  <c r="AF80" i="31" s="1"/>
  <c r="AF79" i="31" a="1"/>
  <c r="AF79" i="31" s="1"/>
  <c r="AF124" i="31" a="1"/>
  <c r="AF124" i="31" s="1"/>
  <c r="AF121" i="31" a="1"/>
  <c r="AF121" i="31" s="1"/>
  <c r="AF118" i="31" a="1"/>
  <c r="AF118" i="31" s="1"/>
  <c r="AF115" i="31" a="1"/>
  <c r="AF115" i="31" s="1"/>
  <c r="AF112" i="31" a="1"/>
  <c r="AF112" i="31" s="1"/>
  <c r="AF109" i="31" a="1"/>
  <c r="AF109" i="31" s="1"/>
  <c r="AF106" i="31" a="1"/>
  <c r="AF106" i="31" s="1"/>
  <c r="AF99" i="31" a="1"/>
  <c r="AF99" i="31" s="1"/>
  <c r="AF94" i="31" a="1"/>
  <c r="AF94" i="31" s="1"/>
  <c r="AF89" i="31" a="1"/>
  <c r="AF89" i="31" s="1"/>
  <c r="AF130" i="31" a="1"/>
  <c r="AF130" i="31" s="1"/>
  <c r="AF127" i="31" a="1"/>
  <c r="AF127" i="31" s="1"/>
  <c r="AF116" i="31" a="1"/>
  <c r="AF116" i="31" s="1"/>
  <c r="AF93" i="31" a="1"/>
  <c r="AF93" i="31" s="1"/>
  <c r="AF76" i="31" a="1"/>
  <c r="AF76" i="31" s="1"/>
  <c r="AF119" i="31" a="1"/>
  <c r="AF119" i="31" s="1"/>
  <c r="AF113" i="31" a="1"/>
  <c r="AF113" i="31" s="1"/>
  <c r="AF103" i="31" a="1"/>
  <c r="AF103" i="31" s="1"/>
  <c r="AF98" i="31" a="1"/>
  <c r="AF98" i="31" s="1"/>
  <c r="AF88" i="31" a="1"/>
  <c r="AF88" i="31" s="1"/>
  <c r="AF122" i="31" a="1"/>
  <c r="AF122" i="31" s="1"/>
  <c r="AF110" i="31" a="1"/>
  <c r="AF110" i="31" s="1"/>
  <c r="AF87" i="31" a="1"/>
  <c r="AF87" i="31" s="1"/>
  <c r="AF83" i="31" a="1"/>
  <c r="AF83" i="31" s="1"/>
  <c r="AF52" i="31" a="1"/>
  <c r="AF52" i="31" s="1"/>
  <c r="AF49" i="31" a="1"/>
  <c r="AF49" i="31" s="1"/>
  <c r="AF39" i="31" a="1"/>
  <c r="AF39" i="31" s="1"/>
  <c r="AF74" i="31" a="1"/>
  <c r="AF74" i="31" s="1"/>
  <c r="AF65" i="31" a="1"/>
  <c r="AF65" i="31" s="1"/>
  <c r="AF51" i="31" a="1"/>
  <c r="AF51" i="31" s="1"/>
  <c r="AF50" i="31" a="1"/>
  <c r="AF50" i="31" s="1"/>
  <c r="AF23" i="31" a="1"/>
  <c r="AF23" i="31" s="1"/>
  <c r="AF92" i="31" a="1"/>
  <c r="AF92" i="31" s="1"/>
  <c r="AF75" i="31" a="1"/>
  <c r="AF75" i="31" s="1"/>
  <c r="AF66" i="31" a="1"/>
  <c r="AF66" i="31" s="1"/>
  <c r="AF40" i="31" a="1"/>
  <c r="AF40" i="31" s="1"/>
  <c r="AF81" i="31" a="1"/>
  <c r="AF81" i="31" s="1"/>
  <c r="AF78" i="31" a="1"/>
  <c r="AF78" i="31" s="1"/>
  <c r="AF77" i="31" a="1"/>
  <c r="AF77" i="31" s="1"/>
  <c r="AF68" i="31" a="1"/>
  <c r="AF68" i="31" s="1"/>
  <c r="AF67" i="31" a="1"/>
  <c r="AF67" i="31" s="1"/>
  <c r="AF41" i="31" a="1"/>
  <c r="AF41" i="31" s="1"/>
  <c r="AF33" i="31" a="1"/>
  <c r="AF33" i="31" s="1"/>
  <c r="AF91" i="31" a="1"/>
  <c r="AF91" i="31" s="1"/>
  <c r="AF69" i="31" a="1"/>
  <c r="AF69" i="31" s="1"/>
  <c r="AF70" i="31" a="1"/>
  <c r="AF70" i="31" s="1"/>
  <c r="AF62" i="31" a="1"/>
  <c r="AF62" i="31" s="1"/>
  <c r="AF61" i="31" a="1"/>
  <c r="AF61" i="31" s="1"/>
  <c r="AF60" i="31" a="1"/>
  <c r="AF60" i="31" s="1"/>
  <c r="AF59" i="31" a="1"/>
  <c r="AF59" i="31" s="1"/>
  <c r="AF46" i="31" a="1"/>
  <c r="AF46" i="31" s="1"/>
  <c r="AF45" i="31" a="1"/>
  <c r="AF45" i="31" s="1"/>
  <c r="AF35" i="31" a="1"/>
  <c r="AF35" i="31" s="1"/>
  <c r="AF34" i="31" a="1"/>
  <c r="AF34" i="31" s="1"/>
  <c r="AF102" i="31" a="1"/>
  <c r="AF102" i="31" s="1"/>
  <c r="AF86" i="31" a="1"/>
  <c r="AF86" i="31" s="1"/>
  <c r="AF71" i="31" a="1"/>
  <c r="AF71" i="31" s="1"/>
  <c r="AF63" i="31" a="1"/>
  <c r="AF63" i="31" s="1"/>
  <c r="AF58" i="31" a="1"/>
  <c r="AF58" i="31" s="1"/>
  <c r="AF57" i="31" a="1"/>
  <c r="AF57" i="31" s="1"/>
  <c r="AF56" i="31" a="1"/>
  <c r="AF56" i="31" s="1"/>
  <c r="AF55" i="31" a="1"/>
  <c r="AF55" i="31" s="1"/>
  <c r="AF54" i="31" a="1"/>
  <c r="AF54" i="31" s="1"/>
  <c r="AF47" i="31" a="1"/>
  <c r="AF47" i="31" s="1"/>
  <c r="AF97" i="31" a="1"/>
  <c r="AF97" i="31" s="1"/>
  <c r="AF73" i="31" a="1"/>
  <c r="AF73" i="31" s="1"/>
  <c r="AF72" i="31" a="1"/>
  <c r="AF72" i="31" s="1"/>
  <c r="AF64" i="31" a="1"/>
  <c r="AF64" i="31" s="1"/>
  <c r="AG7" i="31" a="1"/>
  <c r="AG7" i="31" s="1"/>
  <c r="AG9" i="31" a="1"/>
  <c r="AG9" i="31" s="1"/>
  <c r="AG11" i="31" a="1"/>
  <c r="AG11" i="31" s="1"/>
  <c r="AG13" i="31" a="1"/>
  <c r="AG13" i="31" s="1"/>
  <c r="AG15" i="31" a="1"/>
  <c r="AG15" i="31" s="1"/>
  <c r="AG17" i="31" a="1"/>
  <c r="AG17" i="31" s="1"/>
  <c r="AG20" i="31" a="1"/>
  <c r="AG20" i="31" s="1"/>
  <c r="AF22" i="31" a="1"/>
  <c r="AF22" i="31" s="1"/>
  <c r="AG23" i="31" a="1"/>
  <c r="AG23" i="31" s="1"/>
  <c r="AF27" i="31" a="1"/>
  <c r="AF27" i="31" s="1"/>
  <c r="AF31" i="31" a="1"/>
  <c r="AF31" i="31" s="1"/>
  <c r="AG35" i="31" a="1"/>
  <c r="AG35" i="31" s="1"/>
  <c r="AE44" i="31" a="1"/>
  <c r="AE44" i="31" s="1"/>
  <c r="AF53" i="31" a="1"/>
  <c r="AF53" i="31" s="1"/>
  <c r="AG19" i="31" a="1"/>
  <c r="AG19" i="31" s="1"/>
  <c r="AG21" i="31" a="1"/>
  <c r="AG21" i="31" s="1"/>
  <c r="AG22" i="31" a="1"/>
  <c r="AG22" i="31" s="1"/>
  <c r="AE26" i="31" a="1"/>
  <c r="AE26" i="31" s="1"/>
  <c r="AE30" i="31" a="1"/>
  <c r="AE30" i="31" s="1"/>
  <c r="AF44" i="31" a="1"/>
  <c r="AF44" i="31" s="1"/>
  <c r="AE45" i="31" a="1"/>
  <c r="AE45" i="31" s="1"/>
  <c r="AE55" i="31" a="1"/>
  <c r="AE55" i="31" s="1"/>
  <c r="AE56" i="31" a="1"/>
  <c r="AE56" i="31" s="1"/>
  <c r="AE57" i="31" a="1"/>
  <c r="AE57" i="31" s="1"/>
  <c r="AE6" i="31" a="1"/>
  <c r="AE6" i="31" s="1"/>
  <c r="AE8" i="31" a="1"/>
  <c r="AE8" i="31" s="1"/>
  <c r="AE10" i="31" a="1"/>
  <c r="AE10" i="31" s="1"/>
  <c r="AE12" i="31" a="1"/>
  <c r="AE12" i="31" s="1"/>
  <c r="AE14" i="31" a="1"/>
  <c r="AE14" i="31" s="1"/>
  <c r="AE16" i="31" a="1"/>
  <c r="AE16" i="31" s="1"/>
  <c r="AE18" i="31" a="1"/>
  <c r="AE18" i="31" s="1"/>
  <c r="AF26" i="31" a="1"/>
  <c r="AF26" i="31" s="1"/>
  <c r="AF30" i="31" a="1"/>
  <c r="AF30" i="31" s="1"/>
  <c r="AG31" i="31" a="1"/>
  <c r="AG31" i="31" s="1"/>
  <c r="AE41" i="31" a="1"/>
  <c r="AE41" i="31" s="1"/>
  <c r="AG45" i="31" a="1"/>
  <c r="AG45" i="31" s="1"/>
  <c r="AE46" i="31" a="1"/>
  <c r="AE46" i="31" s="1"/>
  <c r="AE13" i="31" a="1"/>
  <c r="AE13" i="31" s="1"/>
  <c r="AE22" i="31" a="1"/>
  <c r="AE22" i="31" s="1"/>
  <c r="AF6" i="31" a="1"/>
  <c r="AF6" i="31" s="1"/>
  <c r="AF8" i="31" a="1"/>
  <c r="AF8" i="31" s="1"/>
  <c r="AF10" i="31" a="1"/>
  <c r="AF10" i="31" s="1"/>
  <c r="AF12" i="31" a="1"/>
  <c r="AF12" i="31" s="1"/>
  <c r="AF14" i="31" a="1"/>
  <c r="AF14" i="31" s="1"/>
  <c r="AF16" i="31" a="1"/>
  <c r="AF16" i="31" s="1"/>
  <c r="AF18" i="31" a="1"/>
  <c r="AF18" i="31" s="1"/>
  <c r="AE25" i="31" a="1"/>
  <c r="AE25" i="31" s="1"/>
  <c r="AE29" i="31" a="1"/>
  <c r="AE29" i="31" s="1"/>
  <c r="AE33" i="31" a="1"/>
  <c r="AE33" i="31" s="1"/>
  <c r="AE36" i="31" a="1"/>
  <c r="AE36" i="31" s="1"/>
  <c r="AE37" i="31" a="1"/>
  <c r="AE37" i="31" s="1"/>
  <c r="AE58" i="31" a="1"/>
  <c r="AE58" i="31" s="1"/>
  <c r="AG129" i="31" a="1"/>
  <c r="AG129" i="31" s="1"/>
  <c r="AG117" i="31" a="1"/>
  <c r="AG117" i="31" s="1"/>
  <c r="AG108" i="31" a="1"/>
  <c r="AG108" i="31" s="1"/>
  <c r="AG105" i="31" a="1"/>
  <c r="AG105" i="31" s="1"/>
  <c r="AG126" i="31" a="1"/>
  <c r="AG126" i="31" s="1"/>
  <c r="AG123" i="31" a="1"/>
  <c r="AG123" i="31" s="1"/>
  <c r="AG120" i="31" a="1"/>
  <c r="AG120" i="31" s="1"/>
  <c r="AG100" i="31" a="1"/>
  <c r="AG100" i="31" s="1"/>
  <c r="AG121" i="31" a="1"/>
  <c r="AG121" i="31" s="1"/>
  <c r="AG118" i="31" a="1"/>
  <c r="AG118" i="31" s="1"/>
  <c r="AG115" i="31" a="1"/>
  <c r="AG115" i="31" s="1"/>
  <c r="AG99" i="31" a="1"/>
  <c r="AG99" i="31" s="1"/>
  <c r="AG89" i="31" a="1"/>
  <c r="AG89" i="31" s="1"/>
  <c r="AG124" i="31" a="1"/>
  <c r="AG124" i="31" s="1"/>
  <c r="AG112" i="31" a="1"/>
  <c r="AG112" i="31" s="1"/>
  <c r="AG109" i="31" a="1"/>
  <c r="AG109" i="31" s="1"/>
  <c r="AG106" i="31" a="1"/>
  <c r="AG106" i="31" s="1"/>
  <c r="AG94" i="31" a="1"/>
  <c r="AG94" i="31" s="1"/>
  <c r="AG93" i="31" a="1"/>
  <c r="AG93" i="31" s="1"/>
  <c r="AG130" i="31" a="1"/>
  <c r="AG130" i="31" s="1"/>
  <c r="AG127" i="31" a="1"/>
  <c r="AG127" i="31" s="1"/>
  <c r="AG116" i="31" a="1"/>
  <c r="AG116" i="31" s="1"/>
  <c r="AG113" i="31" a="1"/>
  <c r="AG113" i="31" s="1"/>
  <c r="AG103" i="31" a="1"/>
  <c r="AG103" i="31" s="1"/>
  <c r="AG98" i="31" a="1"/>
  <c r="AG98" i="31" s="1"/>
  <c r="AG88" i="31" a="1"/>
  <c r="AG88" i="31" s="1"/>
  <c r="AG119" i="31" a="1"/>
  <c r="AG119" i="31" s="1"/>
  <c r="AG110" i="31" a="1"/>
  <c r="AG110" i="31" s="1"/>
  <c r="AG97" i="31" a="1"/>
  <c r="AG97" i="31" s="1"/>
  <c r="AG87" i="31" a="1"/>
  <c r="AG87" i="31" s="1"/>
  <c r="AG74" i="31" a="1"/>
  <c r="AG74" i="31" s="1"/>
  <c r="AG73" i="31" a="1"/>
  <c r="AG73" i="31" s="1"/>
  <c r="AG122" i="31" a="1"/>
  <c r="AG122" i="31" s="1"/>
  <c r="AG107" i="31" a="1"/>
  <c r="AG107" i="31" s="1"/>
  <c r="AG102" i="31" a="1"/>
  <c r="AG102" i="31" s="1"/>
  <c r="AG101" i="31" a="1"/>
  <c r="AG101" i="31" s="1"/>
  <c r="AG92" i="31" a="1"/>
  <c r="AG92" i="31" s="1"/>
  <c r="AG91" i="31" a="1"/>
  <c r="AG91" i="31" s="1"/>
  <c r="AG131" i="31" a="1"/>
  <c r="AG131" i="31" s="1"/>
  <c r="AG128" i="31" a="1"/>
  <c r="AG128" i="31" s="1"/>
  <c r="AG125" i="31" a="1"/>
  <c r="AG125" i="31" s="1"/>
  <c r="AG114" i="31" a="1"/>
  <c r="AG114" i="31" s="1"/>
  <c r="AG66" i="31" a="1"/>
  <c r="AG66" i="31" s="1"/>
  <c r="AG111" i="31" a="1"/>
  <c r="AG111" i="31" s="1"/>
  <c r="AG96" i="31" a="1"/>
  <c r="AG96" i="31" s="1"/>
  <c r="AG84" i="31" a="1"/>
  <c r="AG84" i="31" s="1"/>
  <c r="AG76" i="31" a="1"/>
  <c r="AG76" i="31" s="1"/>
  <c r="AG75" i="31" a="1"/>
  <c r="AG75" i="31" s="1"/>
  <c r="AG68" i="31" a="1"/>
  <c r="AG68" i="31" s="1"/>
  <c r="AG67" i="31" a="1"/>
  <c r="AG67" i="31" s="1"/>
  <c r="AG41" i="31" a="1"/>
  <c r="AG41" i="31" s="1"/>
  <c r="AG40" i="31" a="1"/>
  <c r="AG40" i="31" s="1"/>
  <c r="AG27" i="31" a="1"/>
  <c r="AG27" i="31" s="1"/>
  <c r="AG26" i="31" a="1"/>
  <c r="AG26" i="31" s="1"/>
  <c r="AG25" i="31" a="1"/>
  <c r="AG25" i="31" s="1"/>
  <c r="AG24" i="31" a="1"/>
  <c r="AG24" i="31" s="1"/>
  <c r="AG81" i="31" a="1"/>
  <c r="AG81" i="31" s="1"/>
  <c r="AG78" i="31" a="1"/>
  <c r="AG78" i="31" s="1"/>
  <c r="AG77" i="31" a="1"/>
  <c r="AG77" i="31" s="1"/>
  <c r="AG44" i="31" a="1"/>
  <c r="AG44" i="31" s="1"/>
  <c r="AG42" i="31" a="1"/>
  <c r="AG42" i="31" s="1"/>
  <c r="AG36" i="31" a="1"/>
  <c r="AG36" i="31" s="1"/>
  <c r="AG33" i="31" a="1"/>
  <c r="AG33" i="31" s="1"/>
  <c r="AG104" i="31" a="1"/>
  <c r="AG104" i="31" s="1"/>
  <c r="AG95" i="31" a="1"/>
  <c r="AG95" i="31" s="1"/>
  <c r="AG85" i="31" a="1"/>
  <c r="AG85" i="31" s="1"/>
  <c r="AG69" i="31" a="1"/>
  <c r="AG69" i="31" s="1"/>
  <c r="AG60" i="31" a="1"/>
  <c r="AG60" i="31" s="1"/>
  <c r="AG43" i="31" a="1"/>
  <c r="AG43" i="31" s="1"/>
  <c r="AG34" i="31" a="1"/>
  <c r="AG34" i="31" s="1"/>
  <c r="AG79" i="31" a="1"/>
  <c r="AG79" i="31" s="1"/>
  <c r="AG70" i="31" a="1"/>
  <c r="AG70" i="31" s="1"/>
  <c r="AG86" i="31" a="1"/>
  <c r="AG86" i="31" s="1"/>
  <c r="AG82" i="31" a="1"/>
  <c r="AG82" i="31" s="1"/>
  <c r="AG71" i="31" a="1"/>
  <c r="AG71" i="31" s="1"/>
  <c r="AG63" i="31" a="1"/>
  <c r="AG63" i="31" s="1"/>
  <c r="AG56" i="31" a="1"/>
  <c r="AG56" i="31" s="1"/>
  <c r="AG55" i="31" a="1"/>
  <c r="AG55" i="31" s="1"/>
  <c r="AG54" i="31" a="1"/>
  <c r="AG54" i="31" s="1"/>
  <c r="AG47" i="31" a="1"/>
  <c r="AG47" i="31" s="1"/>
  <c r="AG38" i="31" a="1"/>
  <c r="AG38" i="31" s="1"/>
  <c r="AG37" i="31" a="1"/>
  <c r="AG37" i="31" s="1"/>
  <c r="AG90" i="31" a="1"/>
  <c r="AG90" i="31" s="1"/>
  <c r="AG72" i="31" a="1"/>
  <c r="AG72" i="31" s="1"/>
  <c r="AG64" i="31" a="1"/>
  <c r="AG64" i="31" s="1"/>
  <c r="AG53" i="31" a="1"/>
  <c r="AG53" i="31" s="1"/>
  <c r="AG52" i="31" a="1"/>
  <c r="AG52" i="31" s="1"/>
  <c r="AG49" i="31" a="1"/>
  <c r="AG49" i="31" s="1"/>
  <c r="AG48" i="31" a="1"/>
  <c r="AG48" i="31" s="1"/>
  <c r="AG83" i="31" a="1"/>
  <c r="AG83" i="31" s="1"/>
  <c r="AG80" i="31" a="1"/>
  <c r="AG80" i="31" s="1"/>
  <c r="AG65" i="31" a="1"/>
  <c r="AG65" i="31" s="1"/>
  <c r="AG6" i="31" a="1"/>
  <c r="AG6" i="31" s="1"/>
  <c r="AG8" i="31" a="1"/>
  <c r="AG8" i="31" s="1"/>
  <c r="AG10" i="31" a="1"/>
  <c r="AG10" i="31" s="1"/>
  <c r="AG12" i="31" a="1"/>
  <c r="AG12" i="31" s="1"/>
  <c r="AG14" i="31" a="1"/>
  <c r="AG14" i="31" s="1"/>
  <c r="AG16" i="31" a="1"/>
  <c r="AG16" i="31" s="1"/>
  <c r="AG18" i="31" a="1"/>
  <c r="AG18" i="31" s="1"/>
  <c r="AE24" i="31" a="1"/>
  <c r="AE24" i="31" s="1"/>
  <c r="AF25" i="31" a="1"/>
  <c r="AF25" i="31" s="1"/>
  <c r="AE28" i="31" a="1"/>
  <c r="AE28" i="31" s="1"/>
  <c r="AF29" i="31" a="1"/>
  <c r="AF29" i="31" s="1"/>
  <c r="AG30" i="31" a="1"/>
  <c r="AG30" i="31" s="1"/>
  <c r="AE34" i="31" a="1"/>
  <c r="AE34" i="31" s="1"/>
  <c r="AF36" i="31" a="1"/>
  <c r="AF36" i="31" s="1"/>
  <c r="AF37" i="31" a="1"/>
  <c r="AF37" i="31" s="1"/>
  <c r="AG46" i="31" a="1"/>
  <c r="AG46" i="31" s="1"/>
  <c r="AG58" i="31" a="1"/>
  <c r="AG58" i="31" s="1"/>
  <c r="AF28" i="31" a="1"/>
  <c r="AF28" i="31" s="1"/>
  <c r="AG29" i="31" a="1"/>
  <c r="AG29" i="31" s="1"/>
  <c r="AE32" i="31" a="1"/>
  <c r="AE32" i="31" s="1"/>
  <c r="AF38" i="31" a="1"/>
  <c r="AF38" i="31" s="1"/>
  <c r="AF42" i="31" a="1"/>
  <c r="AF42" i="31" s="1"/>
  <c r="AE47" i="31" a="1"/>
  <c r="AE47" i="31" s="1"/>
  <c r="AF48" i="31" a="1"/>
  <c r="AF48" i="31" s="1"/>
  <c r="AE59" i="31" a="1"/>
  <c r="AE59" i="31" s="1"/>
  <c r="AG61" i="31" a="1"/>
  <c r="AG61" i="31" s="1"/>
  <c r="AG62" i="31" a="1"/>
  <c r="AG62" i="31" s="1"/>
  <c r="Z352" i="30" l="1"/>
  <c r="Z351" i="30"/>
  <c r="AA23" i="30"/>
  <c r="AF215" i="30"/>
  <c r="AB172" i="30"/>
  <c r="AC172" i="30"/>
  <c r="AE85" i="30"/>
  <c r="AE169" i="30"/>
  <c r="AD169" i="30"/>
  <c r="AC169" i="30"/>
  <c r="AF232" i="30"/>
  <c r="AA107" i="30"/>
  <c r="AD106" i="30"/>
  <c r="AC19" i="30"/>
  <c r="AA122" i="30"/>
  <c r="AC126" i="30"/>
  <c r="AB18" i="30"/>
  <c r="AB17" i="30"/>
  <c r="AB14" i="30"/>
  <c r="AB13" i="30"/>
  <c r="Z325" i="30" l="1"/>
  <c r="Z313" i="30"/>
  <c r="Z301" i="30"/>
  <c r="AA212" i="30"/>
  <c r="AA172" i="30"/>
  <c r="AB171" i="30"/>
  <c r="AB82" i="30"/>
  <c r="AB3" i="30"/>
  <c r="Z145" i="30"/>
  <c r="Z357" i="30"/>
  <c r="Y357" i="30"/>
  <c r="BF23" i="31"/>
  <c r="X354" i="30"/>
  <c r="AA349" i="30"/>
  <c r="AA350" i="30" l="1"/>
  <c r="AJ355" i="30"/>
  <c r="AI355" i="30"/>
  <c r="AF356" i="30" l="1"/>
  <c r="AH356" i="30"/>
  <c r="AG356" i="30"/>
  <c r="BF25" i="31" l="1"/>
  <c r="X60" i="30"/>
  <c r="AE232" i="30"/>
  <c r="Y176" i="30"/>
  <c r="Y175" i="30"/>
  <c r="X175" i="30"/>
  <c r="W61" i="30"/>
  <c r="V61" i="30"/>
  <c r="AA43" i="30"/>
  <c r="Z43" i="30"/>
  <c r="AA82" i="30" l="1"/>
  <c r="X348" i="30"/>
  <c r="Y40" i="30"/>
  <c r="Y16" i="30"/>
  <c r="Y41" i="30"/>
  <c r="X52" i="30" l="1"/>
  <c r="X155" i="30"/>
  <c r="Y177" i="30"/>
  <c r="Z59" i="30"/>
  <c r="Y47" i="30"/>
  <c r="X44" i="30"/>
  <c r="X45" i="30"/>
  <c r="W49" i="30"/>
  <c r="W51" i="30" l="1"/>
  <c r="Y359" i="30" l="1"/>
  <c r="AJ300" i="30" l="1"/>
  <c r="AI299" i="30"/>
  <c r="AH298" i="30"/>
  <c r="AG297" i="30"/>
  <c r="AF296" i="30"/>
  <c r="AE295" i="30"/>
  <c r="AD294" i="30"/>
  <c r="AC293" i="30"/>
  <c r="AB292" i="30"/>
  <c r="AJ291" i="30"/>
  <c r="AI290" i="30"/>
  <c r="AH289" i="30"/>
  <c r="AG288" i="30"/>
  <c r="AF287" i="30"/>
  <c r="AE286" i="30"/>
  <c r="AD285" i="30"/>
  <c r="AC284" i="30"/>
  <c r="AB283" i="30"/>
  <c r="AJ282" i="30"/>
  <c r="AI281" i="30"/>
  <c r="AH280" i="30"/>
  <c r="AG279" i="30"/>
  <c r="AF278" i="30"/>
  <c r="AE277" i="30"/>
  <c r="AD276" i="30"/>
  <c r="AC275" i="30"/>
  <c r="AJ274" i="30"/>
  <c r="AJ273" i="30"/>
  <c r="AE272" i="30"/>
  <c r="AD271" i="30"/>
  <c r="AC270" i="30"/>
  <c r="AB269" i="30"/>
  <c r="X359" i="30"/>
  <c r="X50" i="30"/>
  <c r="V49" i="30"/>
  <c r="W48" i="30"/>
  <c r="V48" i="30"/>
  <c r="W45" i="30"/>
  <c r="X41" i="30"/>
  <c r="Y59" i="30"/>
  <c r="W358" i="30" l="1"/>
  <c r="AE159" i="30"/>
  <c r="AD159" i="30"/>
  <c r="X83" i="30"/>
  <c r="W83" i="30"/>
  <c r="W123" i="30"/>
  <c r="W128" i="30"/>
  <c r="W343" i="30" l="1"/>
  <c r="AE87" i="30" l="1"/>
  <c r="W174" i="30" l="1"/>
  <c r="W173" i="30"/>
  <c r="Z53" i="30" l="1"/>
  <c r="Y53" i="30"/>
  <c r="V37" i="30" l="1"/>
  <c r="AC161" i="30" l="1"/>
  <c r="AB161" i="30"/>
  <c r="AD87" i="30"/>
  <c r="AC87" i="30"/>
  <c r="AB80" i="30" l="1"/>
  <c r="AA80" i="30"/>
  <c r="U151" i="30"/>
  <c r="V151" i="30"/>
  <c r="V150" i="30"/>
  <c r="U73" i="30"/>
  <c r="U93" i="30"/>
  <c r="AA109" i="30" l="1"/>
  <c r="AC159" i="30"/>
  <c r="AD85" i="30"/>
  <c r="AC85" i="30"/>
  <c r="AG170" i="30"/>
  <c r="AF170" i="30"/>
  <c r="AE170" i="30"/>
  <c r="AH168" i="30"/>
  <c r="AG168" i="30"/>
  <c r="AF168" i="30"/>
  <c r="X81" i="30"/>
  <c r="X16" i="30" l="1"/>
  <c r="U229" i="30"/>
  <c r="U214" i="30"/>
  <c r="U162" i="30" l="1"/>
  <c r="U36" i="30"/>
  <c r="X105" i="30"/>
  <c r="W104" i="30"/>
  <c r="W65" i="30"/>
  <c r="W115" i="30"/>
  <c r="V35" i="30"/>
  <c r="V39" i="30"/>
  <c r="AH342" i="30"/>
  <c r="AI342" i="30"/>
  <c r="AJ342" i="30"/>
  <c r="AJ341" i="30"/>
  <c r="AI341" i="30"/>
  <c r="AH341" i="30"/>
  <c r="AG340" i="30"/>
  <c r="AF340" i="30"/>
  <c r="AE340" i="30"/>
  <c r="AG339" i="30"/>
  <c r="AF339" i="30"/>
  <c r="AE339" i="30"/>
  <c r="AD338" i="30"/>
  <c r="AC338" i="30"/>
  <c r="AB338" i="30"/>
  <c r="AD337" i="30"/>
  <c r="AC337" i="30"/>
  <c r="AB337" i="30"/>
  <c r="AJ336" i="30"/>
  <c r="AI335" i="30"/>
  <c r="AH334" i="30"/>
  <c r="AG333" i="30"/>
  <c r="AF332" i="30"/>
  <c r="AE331" i="30"/>
  <c r="AD330" i="30"/>
  <c r="AC329" i="30"/>
  <c r="AB328" i="30"/>
  <c r="AA327" i="30"/>
  <c r="Z326" i="30"/>
  <c r="AJ324" i="30"/>
  <c r="AI323" i="30"/>
  <c r="AH322" i="30"/>
  <c r="AG321" i="30"/>
  <c r="AF320" i="30"/>
  <c r="AE319" i="30"/>
  <c r="AD318" i="30"/>
  <c r="AC317" i="30"/>
  <c r="AB316" i="30"/>
  <c r="AA315" i="30"/>
  <c r="Z314" i="30"/>
  <c r="AJ312" i="30"/>
  <c r="AI311" i="30"/>
  <c r="AH310" i="30"/>
  <c r="AG309" i="30"/>
  <c r="AF308" i="30"/>
  <c r="AE307" i="30"/>
  <c r="AD306" i="30"/>
  <c r="AC305" i="30"/>
  <c r="AB304" i="30"/>
  <c r="AA303" i="30"/>
  <c r="Z302" i="30"/>
  <c r="AJ268" i="30"/>
  <c r="AI267" i="30"/>
  <c r="AH266" i="30"/>
  <c r="AG265" i="30"/>
  <c r="AF264" i="30"/>
  <c r="AE263" i="30"/>
  <c r="AD262" i="30"/>
  <c r="AC261" i="30"/>
  <c r="AB260" i="30"/>
  <c r="AA259" i="30"/>
  <c r="Z258" i="30"/>
  <c r="Y257" i="30"/>
  <c r="AJ256" i="30"/>
  <c r="AI255" i="30"/>
  <c r="AH254" i="30"/>
  <c r="AG253" i="30"/>
  <c r="AF252" i="30"/>
  <c r="AE251" i="30"/>
  <c r="AD250" i="30"/>
  <c r="AC249" i="30"/>
  <c r="AB248" i="30"/>
  <c r="AA247" i="30"/>
  <c r="Z246" i="30"/>
  <c r="Y245" i="30"/>
  <c r="AJ244" i="30"/>
  <c r="AI243" i="30"/>
  <c r="AH242" i="30"/>
  <c r="AG241" i="30"/>
  <c r="AF240" i="30"/>
  <c r="AE239" i="30"/>
  <c r="AD238" i="30"/>
  <c r="AC237" i="30"/>
  <c r="AB236" i="30"/>
  <c r="AA235" i="30"/>
  <c r="Z234" i="30"/>
  <c r="Y233" i="30"/>
  <c r="AJ227" i="30"/>
  <c r="AI226" i="30"/>
  <c r="AH225" i="30"/>
  <c r="AG224" i="30"/>
  <c r="AF223" i="30"/>
  <c r="AE222" i="30"/>
  <c r="AD221" i="30"/>
  <c r="AC220" i="30"/>
  <c r="AB219" i="30"/>
  <c r="AA218" i="30"/>
  <c r="Z217" i="30"/>
  <c r="Y216" i="30"/>
  <c r="AC199" i="30"/>
  <c r="AC198" i="30"/>
  <c r="AC197" i="30"/>
  <c r="AB187" i="30"/>
  <c r="AD183" i="30"/>
  <c r="AA171" i="30"/>
  <c r="N7" i="30"/>
  <c r="U166" i="30"/>
  <c r="T166" i="30"/>
  <c r="U164" i="30"/>
  <c r="T164" i="30"/>
  <c r="V115" i="30"/>
  <c r="U156" i="30"/>
  <c r="U141" i="30"/>
  <c r="AC53" i="31" l="1" a="1"/>
  <c r="AC53" i="31" s="1"/>
  <c r="AC10" i="31" a="1"/>
  <c r="AC10" i="31" s="1"/>
  <c r="AC18" i="31" a="1"/>
  <c r="AC18" i="31" s="1"/>
  <c r="AC113" i="31" a="1"/>
  <c r="AC113" i="31" s="1"/>
  <c r="AC128" i="31" a="1"/>
  <c r="AC128" i="31" s="1"/>
  <c r="AC117" i="31" a="1"/>
  <c r="AC117" i="31" s="1"/>
  <c r="AC101" i="31" a="1"/>
  <c r="AC101" i="31" s="1"/>
  <c r="AC124" i="31" a="1"/>
  <c r="AC124" i="31" s="1"/>
  <c r="AC43" i="31" a="1"/>
  <c r="AC43" i="31" s="1"/>
  <c r="AC60" i="31" a="1"/>
  <c r="AC60" i="31" s="1"/>
  <c r="AC83" i="31" a="1"/>
  <c r="AC83" i="31" s="1"/>
  <c r="AC89" i="31" a="1"/>
  <c r="AC89" i="31" s="1"/>
  <c r="AC95" i="31" a="1"/>
  <c r="AC95" i="31" s="1"/>
  <c r="AC75" i="31" a="1"/>
  <c r="AC75" i="31" s="1"/>
  <c r="AC22" i="31" a="1"/>
  <c r="AC22" i="31" s="1"/>
  <c r="AC91" i="31" a="1"/>
  <c r="AC91" i="31" s="1"/>
  <c r="AC121" i="31" a="1"/>
  <c r="AC121" i="31" s="1"/>
  <c r="AC36" i="31" a="1"/>
  <c r="AC36" i="31" s="1"/>
  <c r="AC73" i="31" a="1"/>
  <c r="AC73" i="31" s="1"/>
  <c r="AC67" i="31" a="1"/>
  <c r="AC67" i="31" s="1"/>
  <c r="AC26" i="31" a="1"/>
  <c r="AC26" i="31" s="1"/>
  <c r="AC42" i="31" a="1"/>
  <c r="AC42" i="31" s="1"/>
  <c r="AC40" i="31" a="1"/>
  <c r="AC40" i="31" s="1"/>
  <c r="AC32" i="31" a="1"/>
  <c r="AC32" i="31" s="1"/>
  <c r="AC99" i="31" a="1"/>
  <c r="AC99" i="31" s="1"/>
  <c r="AC125" i="31" a="1"/>
  <c r="AC125" i="31" s="1"/>
  <c r="AC111" i="31" a="1"/>
  <c r="AC111" i="31" s="1"/>
  <c r="AC72" i="31" a="1"/>
  <c r="AC72" i="31" s="1"/>
  <c r="AC7" i="31" a="1"/>
  <c r="AC7" i="31" s="1"/>
  <c r="AC12" i="31" a="1"/>
  <c r="AC12" i="31" s="1"/>
  <c r="AC28" i="31" a="1"/>
  <c r="AC28" i="31" s="1"/>
  <c r="AC20" i="31" a="1"/>
  <c r="AC20" i="31" s="1"/>
  <c r="AC98" i="31" a="1"/>
  <c r="AC98" i="31" s="1"/>
  <c r="AC114" i="31" a="1"/>
  <c r="AC114" i="31" s="1"/>
  <c r="AC108" i="31" a="1"/>
  <c r="AC108" i="31" s="1"/>
  <c r="AC69" i="31" a="1"/>
  <c r="AC69" i="31" s="1"/>
  <c r="AC118" i="31" a="1"/>
  <c r="AC118" i="31" s="1"/>
  <c r="AC35" i="31" a="1"/>
  <c r="AC35" i="31" s="1"/>
  <c r="AC58" i="31" a="1"/>
  <c r="AC58" i="31" s="1"/>
  <c r="AC71" i="31" a="1"/>
  <c r="AC71" i="31" s="1"/>
  <c r="AC65" i="31" a="1"/>
  <c r="AC65" i="31" s="1"/>
  <c r="AC66" i="31" a="1"/>
  <c r="AC66" i="31" s="1"/>
  <c r="AC109" i="31" a="1"/>
  <c r="AC109" i="31" s="1"/>
  <c r="AC92" i="31" a="1"/>
  <c r="AC92" i="31" s="1"/>
  <c r="AC39" i="31" a="1"/>
  <c r="AC39" i="31" s="1"/>
  <c r="AC30" i="31" a="1"/>
  <c r="AC30" i="31" s="1"/>
  <c r="AC33" i="31" a="1"/>
  <c r="AC33" i="31" s="1"/>
  <c r="AC21" i="31" a="1"/>
  <c r="AC21" i="31" s="1"/>
  <c r="AC122" i="31" a="1"/>
  <c r="AC122" i="31" s="1"/>
  <c r="AC107" i="31" a="1"/>
  <c r="AC107" i="31" s="1"/>
  <c r="AC97" i="31" a="1"/>
  <c r="AC97" i="31" s="1"/>
  <c r="AC68" i="31" a="1"/>
  <c r="AC68" i="31" s="1"/>
  <c r="AC115" i="31" a="1"/>
  <c r="AC115" i="31" s="1"/>
  <c r="AC34" i="31" a="1"/>
  <c r="AC34" i="31" s="1"/>
  <c r="AC57" i="31" a="1"/>
  <c r="AC57" i="31" s="1"/>
  <c r="AC70" i="31" a="1"/>
  <c r="AC70" i="31" s="1"/>
  <c r="AC54" i="31" a="1"/>
  <c r="AC54" i="31" s="1"/>
  <c r="AC106" i="31" a="1"/>
  <c r="AC106" i="31" s="1"/>
  <c r="AC88" i="31" a="1"/>
  <c r="AC88" i="31" s="1"/>
  <c r="AC9" i="31" a="1"/>
  <c r="AC9" i="31" s="1"/>
  <c r="AC17" i="31" a="1"/>
  <c r="AC17" i="31" s="1"/>
  <c r="AC94" i="31" a="1"/>
  <c r="AC94" i="31" s="1"/>
  <c r="AC47" i="31" a="1"/>
  <c r="AC47" i="31" s="1"/>
  <c r="AC49" i="31" a="1"/>
  <c r="AC49" i="31" s="1"/>
  <c r="AC85" i="31" a="1"/>
  <c r="AC85" i="31" s="1"/>
  <c r="AC127" i="31" a="1"/>
  <c r="AC127" i="31" s="1"/>
  <c r="AC129" i="31" a="1"/>
  <c r="AC129" i="31" s="1"/>
  <c r="AC63" i="31" a="1"/>
  <c r="AC63" i="31" s="1"/>
  <c r="AC48" i="31" a="1"/>
  <c r="AC48" i="31" s="1"/>
  <c r="AC11" i="31" a="1"/>
  <c r="AC11" i="31" s="1"/>
  <c r="AC93" i="31" a="1"/>
  <c r="AC93" i="31" s="1"/>
  <c r="AC62" i="31" a="1"/>
  <c r="AC62" i="31" s="1"/>
  <c r="AC78" i="31" a="1"/>
  <c r="AC78" i="31" s="1"/>
  <c r="AC52" i="31" a="1"/>
  <c r="AC52" i="31" s="1"/>
  <c r="AC6" i="31" a="1"/>
  <c r="AC6" i="31" s="1"/>
  <c r="AC14" i="31" a="1"/>
  <c r="AC14" i="31" s="1"/>
  <c r="AC25" i="31" a="1"/>
  <c r="AC25" i="31" s="1"/>
  <c r="AC130" i="31" a="1"/>
  <c r="AC130" i="31" s="1"/>
  <c r="AC110" i="31" a="1"/>
  <c r="AC110" i="31" s="1"/>
  <c r="AC104" i="31" a="1"/>
  <c r="AC104" i="31" s="1"/>
  <c r="AC96" i="31" a="1"/>
  <c r="AC96" i="31" s="1"/>
  <c r="AC126" i="31" a="1"/>
  <c r="AC126" i="31" s="1"/>
  <c r="AC80" i="31" a="1"/>
  <c r="AC80" i="31" s="1"/>
  <c r="AC64" i="31" a="1"/>
  <c r="AC64" i="31" s="1"/>
  <c r="AC84" i="31" a="1"/>
  <c r="AC84" i="31" s="1"/>
  <c r="AC50" i="31" a="1"/>
  <c r="AC50" i="31" s="1"/>
  <c r="AC102" i="31" a="1"/>
  <c r="AC102" i="31" s="1"/>
  <c r="AC123" i="31" a="1"/>
  <c r="AC123" i="31" s="1"/>
  <c r="AC45" i="31" a="1"/>
  <c r="AC45" i="31" s="1"/>
  <c r="AC81" i="31" a="1"/>
  <c r="AC81" i="31" s="1"/>
  <c r="AC116" i="31" a="1"/>
  <c r="AC116" i="31" s="1"/>
  <c r="AC82" i="31" a="1"/>
  <c r="AC82" i="31" s="1"/>
  <c r="AC51" i="31" a="1"/>
  <c r="AC51" i="31" s="1"/>
  <c r="AC31" i="31" a="1"/>
  <c r="AC31" i="31" s="1"/>
  <c r="AC41" i="31" a="1"/>
  <c r="AC41" i="31" s="1"/>
  <c r="AC24" i="31" a="1"/>
  <c r="AC24" i="31" s="1"/>
  <c r="AC103" i="31" a="1"/>
  <c r="AC103" i="31" s="1"/>
  <c r="AC86" i="31" a="1"/>
  <c r="AC86" i="31" s="1"/>
  <c r="AC56" i="31" a="1"/>
  <c r="AC56" i="31" s="1"/>
  <c r="AC79" i="31" a="1"/>
  <c r="AC79" i="31" s="1"/>
  <c r="AC19" i="31" a="1"/>
  <c r="AC19" i="31" s="1"/>
  <c r="AC120" i="31" a="1"/>
  <c r="AC120" i="31" s="1"/>
  <c r="AC55" i="31" a="1"/>
  <c r="AC55" i="31" s="1"/>
  <c r="AC8" i="31" a="1"/>
  <c r="AC8" i="31" s="1"/>
  <c r="AC16" i="31" a="1"/>
  <c r="AC16" i="31" s="1"/>
  <c r="AC29" i="31" a="1"/>
  <c r="AC29" i="31" s="1"/>
  <c r="AC27" i="31" a="1"/>
  <c r="AC27" i="31" s="1"/>
  <c r="AC100" i="31" a="1"/>
  <c r="AC100" i="31" s="1"/>
  <c r="AC37" i="31" a="1"/>
  <c r="AC37" i="31" s="1"/>
  <c r="AC23" i="31" a="1"/>
  <c r="AC23" i="31" s="1"/>
  <c r="AC119" i="31" a="1"/>
  <c r="AC119" i="31" s="1"/>
  <c r="AC131" i="31" a="1"/>
  <c r="AC131" i="31" s="1"/>
  <c r="AC87" i="31" a="1"/>
  <c r="AC87" i="31" s="1"/>
  <c r="AC105" i="31" a="1"/>
  <c r="AC105" i="31" s="1"/>
  <c r="AC90" i="31" a="1"/>
  <c r="AC90" i="31" s="1"/>
  <c r="AC44" i="31" a="1"/>
  <c r="AC44" i="31" s="1"/>
  <c r="AC61" i="31" a="1"/>
  <c r="AC61" i="31" s="1"/>
  <c r="AC112" i="31" a="1"/>
  <c r="AC112" i="31" s="1"/>
  <c r="AC46" i="31" a="1"/>
  <c r="AC46" i="31" s="1"/>
  <c r="AC38" i="31" a="1"/>
  <c r="AC38" i="31" s="1"/>
  <c r="AC76" i="31" a="1"/>
  <c r="AC76" i="31" s="1"/>
  <c r="AC77" i="31" a="1"/>
  <c r="AC77" i="31" s="1"/>
  <c r="AC13" i="31" a="1"/>
  <c r="AC13" i="31" s="1"/>
  <c r="AC59" i="31" a="1"/>
  <c r="AC59" i="31" s="1"/>
  <c r="AC74" i="31" a="1"/>
  <c r="AC74" i="31" s="1"/>
  <c r="AC15" i="31" a="1"/>
  <c r="AC15" i="31" s="1"/>
  <c r="AD93" i="31" a="1"/>
  <c r="AD93" i="31" s="1"/>
  <c r="AD92" i="31" a="1"/>
  <c r="AD92" i="31" s="1"/>
  <c r="AD129" i="31" a="1"/>
  <c r="AD129" i="31" s="1"/>
  <c r="AD90" i="31" a="1"/>
  <c r="AD90" i="31" s="1"/>
  <c r="AD115" i="31" a="1"/>
  <c r="AD115" i="31" s="1"/>
  <c r="AD69" i="31" a="1"/>
  <c r="AD69" i="31" s="1"/>
  <c r="AD47" i="31" a="1"/>
  <c r="AD47" i="31" s="1"/>
  <c r="AD56" i="31" a="1"/>
  <c r="AD56" i="31" s="1"/>
  <c r="AD39" i="31" a="1"/>
  <c r="AD39" i="31" s="1"/>
  <c r="AD76" i="31" a="1"/>
  <c r="AD76" i="31" s="1"/>
  <c r="AD78" i="31" a="1"/>
  <c r="AD78" i="31" s="1"/>
  <c r="AD16" i="31" a="1"/>
  <c r="AD16" i="31" s="1"/>
  <c r="AD25" i="31" a="1"/>
  <c r="AD25" i="31" s="1"/>
  <c r="AD15" i="31" a="1"/>
  <c r="AD15" i="31" s="1"/>
  <c r="AD17" i="31" a="1"/>
  <c r="AD17" i="31" s="1"/>
  <c r="AD43" i="31" a="1"/>
  <c r="AD43" i="31" s="1"/>
  <c r="AD119" i="31" a="1"/>
  <c r="AD119" i="31" s="1"/>
  <c r="AD131" i="31" a="1"/>
  <c r="AD131" i="31" s="1"/>
  <c r="AD87" i="31" a="1"/>
  <c r="AD87" i="31" s="1"/>
  <c r="AD120" i="31" a="1"/>
  <c r="AD120" i="31" s="1"/>
  <c r="AD80" i="31" a="1"/>
  <c r="AD80" i="31" s="1"/>
  <c r="AD112" i="31" a="1"/>
  <c r="AD112" i="31" s="1"/>
  <c r="AD63" i="31" a="1"/>
  <c r="AD63" i="31" s="1"/>
  <c r="AD45" i="31" a="1"/>
  <c r="AD45" i="31" s="1"/>
  <c r="AD55" i="31" a="1"/>
  <c r="AD55" i="31" s="1"/>
  <c r="AD38" i="31" a="1"/>
  <c r="AD38" i="31" s="1"/>
  <c r="AD75" i="31" a="1"/>
  <c r="AD75" i="31" s="1"/>
  <c r="AD77" i="31" a="1"/>
  <c r="AD77" i="31" s="1"/>
  <c r="AD18" i="31" a="1"/>
  <c r="AD18" i="31" s="1"/>
  <c r="AD19" i="31" a="1"/>
  <c r="AD19" i="31" s="1"/>
  <c r="AD27" i="31" a="1"/>
  <c r="AD27" i="31" s="1"/>
  <c r="AD23" i="31" a="1"/>
  <c r="AD23" i="31" s="1"/>
  <c r="AD113" i="31" a="1"/>
  <c r="AD113" i="31" s="1"/>
  <c r="AD128" i="31" a="1"/>
  <c r="AD128" i="31" s="1"/>
  <c r="AD117" i="31" a="1"/>
  <c r="AD117" i="31" s="1"/>
  <c r="AD105" i="31" a="1"/>
  <c r="AD105" i="31" s="1"/>
  <c r="AD67" i="31" a="1"/>
  <c r="AD67" i="31" s="1"/>
  <c r="AD109" i="31" a="1"/>
  <c r="AD109" i="31" s="1"/>
  <c r="AD62" i="31" a="1"/>
  <c r="AD62" i="31" s="1"/>
  <c r="AD37" i="31" a="1"/>
  <c r="AD37" i="31" s="1"/>
  <c r="AD46" i="31" a="1"/>
  <c r="AD46" i="31" s="1"/>
  <c r="AD74" i="31" a="1"/>
  <c r="AD74" i="31" s="1"/>
  <c r="AD41" i="31" a="1"/>
  <c r="AD41" i="31" s="1"/>
  <c r="AD68" i="31" a="1"/>
  <c r="AD68" i="31" s="1"/>
  <c r="AD42" i="31" a="1"/>
  <c r="AD42" i="31" s="1"/>
  <c r="AD32" i="31" a="1"/>
  <c r="AD32" i="31" s="1"/>
  <c r="AD7" i="31" a="1"/>
  <c r="AD7" i="31" s="1"/>
  <c r="AD44" i="31" a="1"/>
  <c r="AD44" i="31" s="1"/>
  <c r="AD51" i="31" a="1"/>
  <c r="AD51" i="31" s="1"/>
  <c r="AD99" i="31" a="1"/>
  <c r="AD99" i="31" s="1"/>
  <c r="AD125" i="31" a="1"/>
  <c r="AD125" i="31" s="1"/>
  <c r="AD111" i="31" a="1"/>
  <c r="AD111" i="31" s="1"/>
  <c r="AD101" i="31" a="1"/>
  <c r="AD101" i="31" s="1"/>
  <c r="AD66" i="31" a="1"/>
  <c r="AD66" i="31" s="1"/>
  <c r="AD106" i="31" a="1"/>
  <c r="AD106" i="31" s="1"/>
  <c r="AD61" i="31" a="1"/>
  <c r="AD61" i="31" s="1"/>
  <c r="AD83" i="31" a="1"/>
  <c r="AD83" i="31" s="1"/>
  <c r="AD89" i="31" a="1"/>
  <c r="AD89" i="31" s="1"/>
  <c r="AD53" i="31" a="1"/>
  <c r="AD53" i="31" s="1"/>
  <c r="AD40" i="31" a="1"/>
  <c r="AD40" i="31" s="1"/>
  <c r="AD94" i="31" a="1"/>
  <c r="AD94" i="31" s="1"/>
  <c r="AD22" i="31" a="1"/>
  <c r="AD22" i="31" s="1"/>
  <c r="AD34" i="31" a="1"/>
  <c r="AD34" i="31" s="1"/>
  <c r="AD31" i="31" a="1"/>
  <c r="AD31" i="31" s="1"/>
  <c r="AD98" i="31" a="1"/>
  <c r="AD98" i="31" s="1"/>
  <c r="AD114" i="31" a="1"/>
  <c r="AD114" i="31" s="1"/>
  <c r="AD108" i="31" a="1"/>
  <c r="AD108" i="31" s="1"/>
  <c r="AD91" i="31" a="1"/>
  <c r="AD91" i="31" s="1"/>
  <c r="AD65" i="31" a="1"/>
  <c r="AD65" i="31" s="1"/>
  <c r="AD95" i="31" a="1"/>
  <c r="AD95" i="31" s="1"/>
  <c r="AD60" i="31" a="1"/>
  <c r="AD60" i="31" s="1"/>
  <c r="AD73" i="31" a="1"/>
  <c r="AD73" i="31" s="1"/>
  <c r="AD72" i="31" a="1"/>
  <c r="AD72" i="31" s="1"/>
  <c r="AD52" i="31" a="1"/>
  <c r="AD52" i="31" s="1"/>
  <c r="AD33" i="31" a="1"/>
  <c r="AD33" i="31" s="1"/>
  <c r="AD82" i="31" a="1"/>
  <c r="AD82" i="31" s="1"/>
  <c r="AD6" i="31" a="1"/>
  <c r="AD6" i="31" s="1"/>
  <c r="AD36" i="31" a="1"/>
  <c r="AD36" i="31" s="1"/>
  <c r="AD10" i="31" a="1"/>
  <c r="AD10" i="31" s="1"/>
  <c r="AD24" i="31" a="1"/>
  <c r="AD24" i="31" s="1"/>
  <c r="AD9" i="31" a="1"/>
  <c r="AD9" i="31" s="1"/>
  <c r="AD122" i="31" a="1"/>
  <c r="AD122" i="31" s="1"/>
  <c r="AD107" i="31" a="1"/>
  <c r="AD107" i="31" s="1"/>
  <c r="AD97" i="31" a="1"/>
  <c r="AD97" i="31" s="1"/>
  <c r="AD126" i="31" a="1"/>
  <c r="AD126" i="31" s="1"/>
  <c r="AD124" i="31" a="1"/>
  <c r="AD124" i="31" s="1"/>
  <c r="AD130" i="31" a="1"/>
  <c r="AD130" i="31" s="1"/>
  <c r="AD59" i="31" a="1"/>
  <c r="AD59" i="31" s="1"/>
  <c r="AD71" i="31" a="1"/>
  <c r="AD71" i="31" s="1"/>
  <c r="AD54" i="31" a="1"/>
  <c r="AD54" i="31" s="1"/>
  <c r="AD50" i="31" a="1"/>
  <c r="AD50" i="31" s="1"/>
  <c r="AD88" i="31" a="1"/>
  <c r="AD88" i="31" s="1"/>
  <c r="AD8" i="31" a="1"/>
  <c r="AD8" i="31" s="1"/>
  <c r="AD20" i="31" a="1"/>
  <c r="AD20" i="31" s="1"/>
  <c r="AD110" i="31" a="1"/>
  <c r="AD110" i="31" s="1"/>
  <c r="AD104" i="31" a="1"/>
  <c r="AD104" i="31" s="1"/>
  <c r="AD96" i="31" a="1"/>
  <c r="AD96" i="31" s="1"/>
  <c r="AD123" i="31" a="1"/>
  <c r="AD123" i="31" s="1"/>
  <c r="AD121" i="31" a="1"/>
  <c r="AD121" i="31" s="1"/>
  <c r="AD127" i="31" a="1"/>
  <c r="AD127" i="31" s="1"/>
  <c r="AD58" i="31" a="1"/>
  <c r="AD58" i="31" s="1"/>
  <c r="AD70" i="31" a="1"/>
  <c r="AD70" i="31" s="1"/>
  <c r="AD49" i="31" a="1"/>
  <c r="AD49" i="31" s="1"/>
  <c r="AD84" i="31" a="1"/>
  <c r="AD84" i="31" s="1"/>
  <c r="AD85" i="31" a="1"/>
  <c r="AD85" i="31" s="1"/>
  <c r="AD12" i="31" a="1"/>
  <c r="AD12" i="31" s="1"/>
  <c r="AD35" i="31" a="1"/>
  <c r="AD35" i="31" s="1"/>
  <c r="AD26" i="31" a="1"/>
  <c r="AD26" i="31" s="1"/>
  <c r="AD103" i="31" a="1"/>
  <c r="AD103" i="31" s="1"/>
  <c r="AD102" i="31" a="1"/>
  <c r="AD102" i="31" s="1"/>
  <c r="AD86" i="31" a="1"/>
  <c r="AD86" i="31" s="1"/>
  <c r="AD100" i="31" a="1"/>
  <c r="AD100" i="31" s="1"/>
  <c r="AD118" i="31" a="1"/>
  <c r="AD118" i="31" s="1"/>
  <c r="AD116" i="31" a="1"/>
  <c r="AD116" i="31" s="1"/>
  <c r="AD57" i="31" a="1"/>
  <c r="AD57" i="31" s="1"/>
  <c r="AD64" i="31" a="1"/>
  <c r="AD64" i="31" s="1"/>
  <c r="AD48" i="31" a="1"/>
  <c r="AD48" i="31" s="1"/>
  <c r="AD81" i="31" a="1"/>
  <c r="AD81" i="31" s="1"/>
  <c r="AD79" i="31" a="1"/>
  <c r="AD79" i="31" s="1"/>
  <c r="AD30" i="31" a="1"/>
  <c r="AD30" i="31" s="1"/>
  <c r="AD14" i="31" a="1"/>
  <c r="AD14" i="31" s="1"/>
  <c r="AD29" i="31" a="1"/>
  <c r="AD29" i="31" s="1"/>
  <c r="AD28" i="31" a="1"/>
  <c r="AD28" i="31" s="1"/>
  <c r="AD11" i="31" a="1"/>
  <c r="AD11" i="31" s="1"/>
  <c r="AD21" i="31" a="1"/>
  <c r="AD21" i="31" s="1"/>
  <c r="AD13" i="31" a="1"/>
  <c r="AD13" i="31" s="1"/>
  <c r="AB44" i="31" a="1"/>
  <c r="AB44" i="31" s="1"/>
  <c r="AB120" i="31" a="1"/>
  <c r="AB120" i="31" s="1"/>
  <c r="AB11" i="31" a="1"/>
  <c r="AB11" i="31" s="1"/>
  <c r="AB28" i="31" a="1"/>
  <c r="AB28" i="31" s="1"/>
  <c r="AB18" i="31" a="1"/>
  <c r="AB18" i="31" s="1"/>
  <c r="AB96" i="31" a="1"/>
  <c r="AB96" i="31" s="1"/>
  <c r="AB20" i="31" a="1"/>
  <c r="AB20" i="31" s="1"/>
  <c r="AB80" i="31" a="1"/>
  <c r="AB80" i="31" s="1"/>
  <c r="AB92" i="31" a="1"/>
  <c r="AB92" i="31" s="1"/>
  <c r="AB22" i="31" a="1"/>
  <c r="AB22" i="31" s="1"/>
  <c r="AB70" i="31" a="1"/>
  <c r="AB70" i="31" s="1"/>
  <c r="AB55" i="31" a="1"/>
  <c r="AB55" i="31" s="1"/>
  <c r="AB59" i="31" a="1"/>
  <c r="AB59" i="31" s="1"/>
  <c r="AB43" i="31" a="1"/>
  <c r="AB43" i="31" s="1"/>
  <c r="AB9" i="31" a="1"/>
  <c r="AB9" i="31" s="1"/>
  <c r="AB34" i="31" a="1"/>
  <c r="AB34" i="31" s="1"/>
  <c r="AB124" i="31" a="1"/>
  <c r="AB124" i="31" s="1"/>
  <c r="AB115" i="31" a="1"/>
  <c r="AB115" i="31" s="1"/>
  <c r="AB8" i="31" a="1"/>
  <c r="AB8" i="31" s="1"/>
  <c r="AB90" i="31" a="1"/>
  <c r="AB90" i="31" s="1"/>
  <c r="AB19" i="31" a="1"/>
  <c r="AB19" i="31" s="1"/>
  <c r="AB87" i="31" a="1"/>
  <c r="AB87" i="31" s="1"/>
  <c r="AB29" i="31" a="1"/>
  <c r="AB29" i="31" s="1"/>
  <c r="AB82" i="31" a="1"/>
  <c r="AB82" i="31" s="1"/>
  <c r="AB13" i="31" a="1"/>
  <c r="AB13" i="31" s="1"/>
  <c r="AB73" i="31" a="1"/>
  <c r="AB73" i="31" s="1"/>
  <c r="AB63" i="31" a="1"/>
  <c r="AB63" i="31" s="1"/>
  <c r="AB127" i="31" a="1"/>
  <c r="AB127" i="31" s="1"/>
  <c r="AB46" i="31" a="1"/>
  <c r="AB46" i="31" s="1"/>
  <c r="AB15" i="31" a="1"/>
  <c r="AB15" i="31" s="1"/>
  <c r="AB64" i="31" a="1"/>
  <c r="AB64" i="31" s="1"/>
  <c r="AB14" i="31" a="1"/>
  <c r="AB14" i="31" s="1"/>
  <c r="AB17" i="31" a="1"/>
  <c r="AB17" i="31" s="1"/>
  <c r="AB57" i="31" a="1"/>
  <c r="AB57" i="31" s="1"/>
  <c r="AB41" i="31" a="1"/>
  <c r="AB41" i="31" s="1"/>
  <c r="AB27" i="31" a="1"/>
  <c r="AB27" i="31" s="1"/>
  <c r="AB130" i="31" a="1"/>
  <c r="AB130" i="31" s="1"/>
  <c r="AB47" i="31" a="1"/>
  <c r="AB47" i="31" s="1"/>
  <c r="AB40" i="31" a="1"/>
  <c r="AB40" i="31" s="1"/>
  <c r="AB94" i="31" a="1"/>
  <c r="AB94" i="31" s="1"/>
  <c r="AB45" i="31" a="1"/>
  <c r="AB45" i="31" s="1"/>
  <c r="AB16" i="31" a="1"/>
  <c r="AB16" i="31" s="1"/>
  <c r="AB31" i="31" a="1"/>
  <c r="AB31" i="31" s="1"/>
  <c r="AB109" i="31" a="1"/>
  <c r="AB109" i="31" s="1"/>
  <c r="AB60" i="31" a="1"/>
  <c r="AB60" i="31" s="1"/>
  <c r="AB6" i="31" a="1"/>
  <c r="AB6" i="31" s="1"/>
  <c r="AB36" i="31" a="1"/>
  <c r="AB36" i="31" s="1"/>
  <c r="AB119" i="31" a="1"/>
  <c r="AB119" i="31" s="1"/>
  <c r="AB72" i="31" a="1"/>
  <c r="AB72" i="31" s="1"/>
  <c r="AB32" i="31" a="1"/>
  <c r="AB32" i="31" s="1"/>
  <c r="AB83" i="31" a="1"/>
  <c r="AB83" i="31" s="1"/>
  <c r="AB99" i="31" a="1"/>
  <c r="AB99" i="31" s="1"/>
  <c r="AB95" i="31" a="1"/>
  <c r="AB95" i="31" s="1"/>
  <c r="AB42" i="31" a="1"/>
  <c r="AB42" i="31" s="1"/>
  <c r="AB110" i="31" a="1"/>
  <c r="AB110" i="31" s="1"/>
  <c r="AB81" i="31" a="1"/>
  <c r="AB81" i="31" s="1"/>
  <c r="AB88" i="31" a="1"/>
  <c r="AB88" i="31" s="1"/>
  <c r="AB66" i="31" a="1"/>
  <c r="AB66" i="31" s="1"/>
  <c r="AB121" i="31" a="1"/>
  <c r="AB121" i="31" s="1"/>
  <c r="AB118" i="31" a="1"/>
  <c r="AB118" i="31" s="1"/>
  <c r="AB105" i="31" a="1"/>
  <c r="AB105" i="31" s="1"/>
  <c r="AB113" i="31" a="1"/>
  <c r="AB113" i="31" s="1"/>
  <c r="AB35" i="31" a="1"/>
  <c r="AB35" i="31" s="1"/>
  <c r="AB112" i="31" a="1"/>
  <c r="AB112" i="31" s="1"/>
  <c r="AB61" i="31" a="1"/>
  <c r="AB61" i="31" s="1"/>
  <c r="AB98" i="31" a="1"/>
  <c r="AB98" i="31" s="1"/>
  <c r="AB38" i="31" a="1"/>
  <c r="AB38" i="31" s="1"/>
  <c r="AB100" i="31" a="1"/>
  <c r="AB100" i="31" s="1"/>
  <c r="AB56" i="31" a="1"/>
  <c r="AB56" i="31" s="1"/>
  <c r="AB125" i="31" a="1"/>
  <c r="AB125" i="31" s="1"/>
  <c r="AB84" i="31" a="1"/>
  <c r="AB84" i="31" s="1"/>
  <c r="AB30" i="31" a="1"/>
  <c r="AB30" i="31" s="1"/>
  <c r="AB102" i="31" a="1"/>
  <c r="AB102" i="31" s="1"/>
  <c r="AB48" i="31" a="1"/>
  <c r="AB48" i="31" s="1"/>
  <c r="AB107" i="31" a="1"/>
  <c r="AB107" i="31" s="1"/>
  <c r="AB53" i="31" a="1"/>
  <c r="AB53" i="31" s="1"/>
  <c r="AB76" i="31" a="1"/>
  <c r="AB76" i="31" s="1"/>
  <c r="AB50" i="31" a="1"/>
  <c r="AB50" i="31" s="1"/>
  <c r="AB71" i="31" a="1"/>
  <c r="AB71" i="31" s="1"/>
  <c r="AB106" i="31" a="1"/>
  <c r="AB106" i="31" s="1"/>
  <c r="AB89" i="31" a="1"/>
  <c r="AB89" i="31" s="1"/>
  <c r="AB117" i="31" a="1"/>
  <c r="AB117" i="31" s="1"/>
  <c r="AB75" i="31" a="1"/>
  <c r="AB75" i="31" s="1"/>
  <c r="AB116" i="31" a="1"/>
  <c r="AB116" i="31" s="1"/>
  <c r="AB65" i="31" a="1"/>
  <c r="AB65" i="31" s="1"/>
  <c r="AB111" i="31" a="1"/>
  <c r="AB111" i="31" s="1"/>
  <c r="AB7" i="31" a="1"/>
  <c r="AB7" i="31" s="1"/>
  <c r="AB12" i="31" a="1"/>
  <c r="AB12" i="31" s="1"/>
  <c r="AB123" i="31" a="1"/>
  <c r="AB123" i="31" s="1"/>
  <c r="AB104" i="31" a="1"/>
  <c r="AB104" i="31" s="1"/>
  <c r="AB97" i="31" a="1"/>
  <c r="AB97" i="31" s="1"/>
  <c r="AB122" i="31" a="1"/>
  <c r="AB122" i="31" s="1"/>
  <c r="AB37" i="31" a="1"/>
  <c r="AB37" i="31" s="1"/>
  <c r="AB93" i="31" a="1"/>
  <c r="AB93" i="31" s="1"/>
  <c r="AB51" i="31" a="1"/>
  <c r="AB51" i="31" s="1"/>
  <c r="AB58" i="31" a="1"/>
  <c r="AB58" i="31" s="1"/>
  <c r="AB52" i="31" a="1"/>
  <c r="AB52" i="31" s="1"/>
  <c r="AB103" i="31" a="1"/>
  <c r="AB103" i="31" s="1"/>
  <c r="AB39" i="31" a="1"/>
  <c r="AB39" i="31" s="1"/>
  <c r="AB108" i="31" a="1"/>
  <c r="AB108" i="31" s="1"/>
  <c r="AB26" i="31" a="1"/>
  <c r="AB26" i="31" s="1"/>
  <c r="AB131" i="31" a="1"/>
  <c r="AB131" i="31" s="1"/>
  <c r="AB91" i="31" a="1"/>
  <c r="AB91" i="31" s="1"/>
  <c r="AB129" i="31" a="1"/>
  <c r="AB129" i="31" s="1"/>
  <c r="AB49" i="31" a="1"/>
  <c r="AB49" i="31" s="1"/>
  <c r="AB21" i="31" a="1"/>
  <c r="AB21" i="31" s="1"/>
  <c r="AB78" i="31" a="1"/>
  <c r="AB78" i="31" s="1"/>
  <c r="AB85" i="31" a="1"/>
  <c r="AB85" i="31" s="1"/>
  <c r="AB62" i="31" a="1"/>
  <c r="AB62" i="31" s="1"/>
  <c r="AB128" i="31" a="1"/>
  <c r="AB128" i="31" s="1"/>
  <c r="AB101" i="31" a="1"/>
  <c r="AB101" i="31" s="1"/>
  <c r="AB86" i="31" a="1"/>
  <c r="AB86" i="31" s="1"/>
  <c r="AB10" i="31" a="1"/>
  <c r="AB10" i="31" s="1"/>
  <c r="AB114" i="31" a="1"/>
  <c r="AB114" i="31" s="1"/>
  <c r="AB67" i="31" a="1"/>
  <c r="AB67" i="31" s="1"/>
  <c r="AB79" i="31" a="1"/>
  <c r="AB79" i="31" s="1"/>
  <c r="AB126" i="31" a="1"/>
  <c r="AB126" i="31" s="1"/>
  <c r="AB33" i="31" a="1"/>
  <c r="AB33" i="31" s="1"/>
  <c r="AB69" i="31" a="1"/>
  <c r="AB69" i="31" s="1"/>
  <c r="AB23" i="31" a="1"/>
  <c r="AB23" i="31" s="1"/>
  <c r="AB77" i="31" a="1"/>
  <c r="AB77" i="31" s="1"/>
  <c r="AB54" i="31" a="1"/>
  <c r="AB54" i="31" s="1"/>
  <c r="AB24" i="31" a="1"/>
  <c r="AB24" i="31" s="1"/>
  <c r="AB68" i="31" a="1"/>
  <c r="AB68" i="31" s="1"/>
  <c r="AB74" i="31" a="1"/>
  <c r="AB74" i="31" s="1"/>
  <c r="AB25" i="31" a="1"/>
  <c r="AB25" i="31" s="1"/>
  <c r="AA99" i="31" a="1"/>
  <c r="AA99" i="31" s="1"/>
  <c r="W127" i="31" a="1"/>
  <c r="W127" i="31" s="1"/>
  <c r="U130" i="31" a="1"/>
  <c r="U130" i="31" s="1"/>
  <c r="Y129" i="31" a="1"/>
  <c r="Y129" i="31" s="1"/>
  <c r="X85" i="31" a="1"/>
  <c r="X85" i="31" s="1"/>
  <c r="W126" i="31" a="1"/>
  <c r="W126" i="31" s="1"/>
  <c r="T92" i="31" a="1"/>
  <c r="T92" i="31" s="1"/>
  <c r="Z98" i="31" a="1"/>
  <c r="Z98" i="31" s="1"/>
  <c r="W131" i="31" a="1"/>
  <c r="W131" i="31" s="1"/>
  <c r="Z131" i="31" a="1"/>
  <c r="Z131" i="31" s="1"/>
  <c r="Y130" i="31" a="1"/>
  <c r="Y130" i="31" s="1"/>
  <c r="U131" i="31" a="1"/>
  <c r="U131" i="31" s="1"/>
  <c r="V131" i="31" a="1"/>
  <c r="V131" i="31" s="1"/>
  <c r="U109" i="31" a="1"/>
  <c r="U109" i="31" s="1"/>
  <c r="W90" i="31" a="1"/>
  <c r="W90" i="31" s="1"/>
  <c r="V96" i="31" a="1"/>
  <c r="V96" i="31" s="1"/>
  <c r="U117" i="31" a="1"/>
  <c r="U117" i="31" s="1"/>
  <c r="Y97" i="31" a="1"/>
  <c r="Y97" i="31" s="1"/>
  <c r="AA131" i="31" a="1"/>
  <c r="AA131" i="31" s="1"/>
  <c r="T131" i="31" a="1"/>
  <c r="T131" i="31" s="1"/>
  <c r="X130" i="31" a="1"/>
  <c r="X130" i="31" s="1"/>
  <c r="V129" i="31" a="1"/>
  <c r="V129" i="31" s="1"/>
  <c r="Z128" i="31" a="1"/>
  <c r="Z128" i="31" s="1"/>
  <c r="V127" i="31" a="1"/>
  <c r="V127" i="31" s="1"/>
  <c r="AA126" i="31" a="1"/>
  <c r="AA126" i="31" s="1"/>
  <c r="W125" i="31" a="1"/>
  <c r="W125" i="31" s="1"/>
  <c r="AA124" i="31" a="1"/>
  <c r="AA124" i="31" s="1"/>
  <c r="W123" i="31" a="1"/>
  <c r="W123" i="31" s="1"/>
  <c r="AA122" i="31" a="1"/>
  <c r="AA122" i="31" s="1"/>
  <c r="W121" i="31" a="1"/>
  <c r="W121" i="31" s="1"/>
  <c r="AA120" i="31" a="1"/>
  <c r="AA120" i="31" s="1"/>
  <c r="T120" i="31" a="1"/>
  <c r="T120" i="31" s="1"/>
  <c r="X119" i="31" a="1"/>
  <c r="X119" i="31" s="1"/>
  <c r="U118" i="31" a="1"/>
  <c r="U118" i="31" s="1"/>
  <c r="Y117" i="31" a="1"/>
  <c r="Y117" i="31" s="1"/>
  <c r="U116" i="31" a="1"/>
  <c r="U116" i="31" s="1"/>
  <c r="Z115" i="31" a="1"/>
  <c r="Z115" i="31" s="1"/>
  <c r="V114" i="31" a="1"/>
  <c r="V114" i="31" s="1"/>
  <c r="Z113" i="31" a="1"/>
  <c r="Z113" i="31" s="1"/>
  <c r="AA111" i="31" a="1"/>
  <c r="AA111" i="31" s="1"/>
  <c r="W110" i="31" a="1"/>
  <c r="W110" i="31" s="1"/>
  <c r="AA109" i="31" a="1"/>
  <c r="AA109" i="31" s="1"/>
  <c r="Y108" i="31" a="1"/>
  <c r="Y108" i="31" s="1"/>
  <c r="W107" i="31" a="1"/>
  <c r="W107" i="31" s="1"/>
  <c r="AA106" i="31" a="1"/>
  <c r="AA106" i="31" s="1"/>
  <c r="W105" i="31" a="1"/>
  <c r="W105" i="31" s="1"/>
  <c r="AA104" i="31" a="1"/>
  <c r="AA104" i="31" s="1"/>
  <c r="W103" i="31" a="1"/>
  <c r="W103" i="31" s="1"/>
  <c r="AA102" i="31" a="1"/>
  <c r="AA102" i="31" s="1"/>
  <c r="U101" i="31" a="1"/>
  <c r="U101" i="31" s="1"/>
  <c r="X100" i="31" a="1"/>
  <c r="X100" i="31" s="1"/>
  <c r="Z99" i="31" a="1"/>
  <c r="Z99" i="31" s="1"/>
  <c r="Y98" i="31" a="1"/>
  <c r="Y98" i="31" s="1"/>
  <c r="X97" i="31" a="1"/>
  <c r="X97" i="31" s="1"/>
  <c r="U96" i="31" a="1"/>
  <c r="U96" i="31" s="1"/>
  <c r="Y94" i="31" a="1"/>
  <c r="Y94" i="31" s="1"/>
  <c r="U93" i="31" a="1"/>
  <c r="U93" i="31" s="1"/>
  <c r="Z127" i="31" a="1"/>
  <c r="Z127" i="31" s="1"/>
  <c r="Y128" i="31" a="1"/>
  <c r="Y128" i="31" s="1"/>
  <c r="Z126" i="31" a="1"/>
  <c r="Z126" i="31" s="1"/>
  <c r="V125" i="31" a="1"/>
  <c r="V125" i="31" s="1"/>
  <c r="Z124" i="31" a="1"/>
  <c r="Z124" i="31" s="1"/>
  <c r="V123" i="31" a="1"/>
  <c r="V123" i="31" s="1"/>
  <c r="Z122" i="31" a="1"/>
  <c r="Z122" i="31" s="1"/>
  <c r="V121" i="31" a="1"/>
  <c r="V121" i="31" s="1"/>
  <c r="Z120" i="31" a="1"/>
  <c r="Z120" i="31" s="1"/>
  <c r="W119" i="31" a="1"/>
  <c r="W119" i="31" s="1"/>
  <c r="AA118" i="31" a="1"/>
  <c r="AA118" i="31" s="1"/>
  <c r="T118" i="31" a="1"/>
  <c r="T118" i="31" s="1"/>
  <c r="X117" i="31" a="1"/>
  <c r="X117" i="31" s="1"/>
  <c r="Y115" i="31" a="1"/>
  <c r="Y115" i="31" s="1"/>
  <c r="U114" i="31" a="1"/>
  <c r="U114" i="31" s="1"/>
  <c r="Y113" i="31" a="1"/>
  <c r="Y113" i="31" s="1"/>
  <c r="V112" i="31" a="1"/>
  <c r="V112" i="31" s="1"/>
  <c r="Z111" i="31" a="1"/>
  <c r="Z111" i="31" s="1"/>
  <c r="V110" i="31" a="1"/>
  <c r="V110" i="31" s="1"/>
  <c r="Z109" i="31" a="1"/>
  <c r="Z109" i="31" s="1"/>
  <c r="T109" i="31" a="1"/>
  <c r="T109" i="31" s="1"/>
  <c r="X108" i="31" a="1"/>
  <c r="X108" i="31" s="1"/>
  <c r="V107" i="31" a="1"/>
  <c r="V107" i="31" s="1"/>
  <c r="Z106" i="31" a="1"/>
  <c r="Z106" i="31" s="1"/>
  <c r="V105" i="31" a="1"/>
  <c r="V105" i="31" s="1"/>
  <c r="Z104" i="31" a="1"/>
  <c r="Z104" i="31" s="1"/>
  <c r="V103" i="31" a="1"/>
  <c r="V103" i="31" s="1"/>
  <c r="Z102" i="31" a="1"/>
  <c r="Z102" i="31" s="1"/>
  <c r="T101" i="31" a="1"/>
  <c r="T101" i="31" s="1"/>
  <c r="W100" i="31" a="1"/>
  <c r="W100" i="31" s="1"/>
  <c r="W99" i="31" a="1"/>
  <c r="W99" i="31" s="1"/>
  <c r="X98" i="31" a="1"/>
  <c r="X98" i="31" s="1"/>
  <c r="W97" i="31" a="1"/>
  <c r="W97" i="31" s="1"/>
  <c r="X94" i="31" a="1"/>
  <c r="X94" i="31" s="1"/>
  <c r="T93" i="31" a="1"/>
  <c r="T93" i="31" s="1"/>
  <c r="W89" i="31" a="1"/>
  <c r="W89" i="31" s="1"/>
  <c r="Y83" i="31" a="1"/>
  <c r="Y83" i="31" s="1"/>
  <c r="W130" i="31" a="1"/>
  <c r="W130" i="31" s="1"/>
  <c r="U129" i="31" a="1"/>
  <c r="U129" i="31" s="1"/>
  <c r="Y131" i="31" a="1"/>
  <c r="Y131" i="31" s="1"/>
  <c r="V130" i="31" a="1"/>
  <c r="V130" i="31" s="1"/>
  <c r="AA129" i="31" a="1"/>
  <c r="AA129" i="31" s="1"/>
  <c r="T129" i="31" a="1"/>
  <c r="T129" i="31" s="1"/>
  <c r="X128" i="31" a="1"/>
  <c r="X128" i="31" s="1"/>
  <c r="U127" i="31" a="1"/>
  <c r="U127" i="31" s="1"/>
  <c r="Y126" i="31" a="1"/>
  <c r="Y126" i="31" s="1"/>
  <c r="U125" i="31" a="1"/>
  <c r="U125" i="31" s="1"/>
  <c r="Y124" i="31" a="1"/>
  <c r="Y124" i="31" s="1"/>
  <c r="U123" i="31" a="1"/>
  <c r="U123" i="31" s="1"/>
  <c r="Y122" i="31" a="1"/>
  <c r="Y122" i="31" s="1"/>
  <c r="U121" i="31" a="1"/>
  <c r="U121" i="31" s="1"/>
  <c r="Y120" i="31" a="1"/>
  <c r="Y120" i="31" s="1"/>
  <c r="V119" i="31" a="1"/>
  <c r="V119" i="31" s="1"/>
  <c r="Z118" i="31" a="1"/>
  <c r="Z118" i="31" s="1"/>
  <c r="W117" i="31" a="1"/>
  <c r="W117" i="31" s="1"/>
  <c r="AA116" i="31" a="1"/>
  <c r="AA116" i="31" s="1"/>
  <c r="T116" i="31" a="1"/>
  <c r="T116" i="31" s="1"/>
  <c r="X115" i="31" a="1"/>
  <c r="X115" i="31" s="1"/>
  <c r="T114" i="31" a="1"/>
  <c r="T114" i="31" s="1"/>
  <c r="X113" i="31" a="1"/>
  <c r="X113" i="31" s="1"/>
  <c r="U112" i="31" a="1"/>
  <c r="U112" i="31" s="1"/>
  <c r="Y111" i="31" a="1"/>
  <c r="Y111" i="31" s="1"/>
  <c r="U110" i="31" a="1"/>
  <c r="U110" i="31" s="1"/>
  <c r="Y109" i="31" a="1"/>
  <c r="Y109" i="31" s="1"/>
  <c r="W108" i="31" a="1"/>
  <c r="W108" i="31" s="1"/>
  <c r="U107" i="31" a="1"/>
  <c r="U107" i="31" s="1"/>
  <c r="Y106" i="31" a="1"/>
  <c r="Y106" i="31" s="1"/>
  <c r="U105" i="31" a="1"/>
  <c r="U105" i="31" s="1"/>
  <c r="Y104" i="31" a="1"/>
  <c r="Y104" i="31" s="1"/>
  <c r="U103" i="31" a="1"/>
  <c r="U103" i="31" s="1"/>
  <c r="X102" i="31" a="1"/>
  <c r="X102" i="31" s="1"/>
  <c r="V100" i="31" a="1"/>
  <c r="V100" i="31" s="1"/>
  <c r="V99" i="31" a="1"/>
  <c r="V99" i="31" s="1"/>
  <c r="V98" i="31" a="1"/>
  <c r="V98" i="31" s="1"/>
  <c r="T97" i="31" a="1"/>
  <c r="T97" i="31" s="1"/>
  <c r="AA95" i="31" a="1"/>
  <c r="AA95" i="31" s="1"/>
  <c r="W94" i="31" a="1"/>
  <c r="W94" i="31" s="1"/>
  <c r="AA88" i="31" a="1"/>
  <c r="AA88" i="31" s="1"/>
  <c r="X131" i="31" a="1"/>
  <c r="X131" i="31" s="1"/>
  <c r="Z129" i="31" a="1"/>
  <c r="Z129" i="31" s="1"/>
  <c r="W128" i="31" a="1"/>
  <c r="W128" i="31" s="1"/>
  <c r="AA127" i="31" a="1"/>
  <c r="AA127" i="31" s="1"/>
  <c r="T127" i="31" a="1"/>
  <c r="T127" i="31" s="1"/>
  <c r="X126" i="31" a="1"/>
  <c r="X126" i="31" s="1"/>
  <c r="T125" i="31" a="1"/>
  <c r="T125" i="31" s="1"/>
  <c r="X124" i="31" a="1"/>
  <c r="X124" i="31" s="1"/>
  <c r="T123" i="31" a="1"/>
  <c r="T123" i="31" s="1"/>
  <c r="X122" i="31" a="1"/>
  <c r="X122" i="31" s="1"/>
  <c r="T121" i="31" a="1"/>
  <c r="T121" i="31" s="1"/>
  <c r="X120" i="31" a="1"/>
  <c r="X120" i="31" s="1"/>
  <c r="U119" i="31" a="1"/>
  <c r="U119" i="31" s="1"/>
  <c r="Y118" i="31" a="1"/>
  <c r="Y118" i="31" s="1"/>
  <c r="V117" i="31" a="1"/>
  <c r="V117" i="31" s="1"/>
  <c r="Z116" i="31" a="1"/>
  <c r="Z116" i="31" s="1"/>
  <c r="W115" i="31" a="1"/>
  <c r="W115" i="31" s="1"/>
  <c r="AA114" i="31" a="1"/>
  <c r="AA114" i="31" s="1"/>
  <c r="W113" i="31" a="1"/>
  <c r="W113" i="31" s="1"/>
  <c r="AA112" i="31" a="1"/>
  <c r="AA112" i="31" s="1"/>
  <c r="T112" i="31" a="1"/>
  <c r="T112" i="31" s="1"/>
  <c r="X111" i="31" a="1"/>
  <c r="X111" i="31" s="1"/>
  <c r="T110" i="31" a="1"/>
  <c r="T110" i="31" s="1"/>
  <c r="V108" i="31" a="1"/>
  <c r="V108" i="31" s="1"/>
  <c r="AA107" i="31" a="1"/>
  <c r="AA107" i="31" s="1"/>
  <c r="T107" i="31" a="1"/>
  <c r="T107" i="31" s="1"/>
  <c r="X106" i="31" a="1"/>
  <c r="X106" i="31" s="1"/>
  <c r="T105" i="31" a="1"/>
  <c r="T105" i="31" s="1"/>
  <c r="X104" i="31" a="1"/>
  <c r="X104" i="31" s="1"/>
  <c r="T103" i="31" a="1"/>
  <c r="T103" i="31" s="1"/>
  <c r="W102" i="31" a="1"/>
  <c r="W102" i="31" s="1"/>
  <c r="AA101" i="31" a="1"/>
  <c r="AA101" i="31" s="1"/>
  <c r="U99" i="31" a="1"/>
  <c r="U99" i="31" s="1"/>
  <c r="T98" i="31" a="1"/>
  <c r="T98" i="31" s="1"/>
  <c r="Z95" i="31" a="1"/>
  <c r="Z95" i="31" s="1"/>
  <c r="T94" i="31" a="1"/>
  <c r="T94" i="31" s="1"/>
  <c r="Y91" i="31" a="1"/>
  <c r="Y91" i="31" s="1"/>
  <c r="W82" i="31" a="1"/>
  <c r="W82" i="31" s="1"/>
  <c r="V128" i="31" a="1"/>
  <c r="V128" i="31" s="1"/>
  <c r="AA125" i="31" a="1"/>
  <c r="AA125" i="31" s="1"/>
  <c r="AA123" i="31" a="1"/>
  <c r="AA123" i="31" s="1"/>
  <c r="V115" i="31" a="1"/>
  <c r="V115" i="31" s="1"/>
  <c r="Z114" i="31" a="1"/>
  <c r="Z114" i="31" s="1"/>
  <c r="V113" i="31" a="1"/>
  <c r="V113" i="31" s="1"/>
  <c r="Z112" i="31" a="1"/>
  <c r="Z112" i="31" s="1"/>
  <c r="W111" i="31" a="1"/>
  <c r="W111" i="31" s="1"/>
  <c r="AA110" i="31" a="1"/>
  <c r="AA110" i="31" s="1"/>
  <c r="X109" i="31" a="1"/>
  <c r="X109" i="31" s="1"/>
  <c r="U108" i="31" a="1"/>
  <c r="U108" i="31" s="1"/>
  <c r="Z107" i="31" a="1"/>
  <c r="Z107" i="31" s="1"/>
  <c r="W106" i="31" a="1"/>
  <c r="W106" i="31" s="1"/>
  <c r="AA105" i="31" a="1"/>
  <c r="AA105" i="31" s="1"/>
  <c r="W104" i="31" a="1"/>
  <c r="W104" i="31" s="1"/>
  <c r="AA103" i="31" a="1"/>
  <c r="AA103" i="31" s="1"/>
  <c r="V102" i="31" a="1"/>
  <c r="V102" i="31" s="1"/>
  <c r="Z101" i="31" a="1"/>
  <c r="Z101" i="31" s="1"/>
  <c r="T99" i="31" a="1"/>
  <c r="T99" i="31" s="1"/>
  <c r="W95" i="31" a="1"/>
  <c r="W95" i="31" s="1"/>
  <c r="Y92" i="31" a="1"/>
  <c r="Y92" i="31" s="1"/>
  <c r="V91" i="31" a="1"/>
  <c r="V91" i="31" s="1"/>
  <c r="W87" i="31" a="1"/>
  <c r="W87" i="31" s="1"/>
  <c r="W124" i="31" a="1"/>
  <c r="W124" i="31" s="1"/>
  <c r="W122" i="31" a="1"/>
  <c r="W122" i="31" s="1"/>
  <c r="X118" i="31" a="1"/>
  <c r="X118" i="31" s="1"/>
  <c r="AA130" i="31" a="1"/>
  <c r="AA130" i="31" s="1"/>
  <c r="T130" i="31" a="1"/>
  <c r="T130" i="31" s="1"/>
  <c r="U128" i="31" a="1"/>
  <c r="U128" i="31" s="1"/>
  <c r="Y127" i="31" a="1"/>
  <c r="Y127" i="31" s="1"/>
  <c r="V126" i="31" a="1"/>
  <c r="V126" i="31" s="1"/>
  <c r="Z125" i="31" a="1"/>
  <c r="Z125" i="31" s="1"/>
  <c r="V124" i="31" a="1"/>
  <c r="V124" i="31" s="1"/>
  <c r="Z123" i="31" a="1"/>
  <c r="Z123" i="31" s="1"/>
  <c r="V122" i="31" a="1"/>
  <c r="V122" i="31" s="1"/>
  <c r="Z121" i="31" a="1"/>
  <c r="Z121" i="31" s="1"/>
  <c r="V120" i="31" a="1"/>
  <c r="V120" i="31" s="1"/>
  <c r="AA119" i="31" a="1"/>
  <c r="AA119" i="31" s="1"/>
  <c r="W118" i="31" a="1"/>
  <c r="W118" i="31" s="1"/>
  <c r="T117" i="31" a="1"/>
  <c r="T117" i="31" s="1"/>
  <c r="X116" i="31" a="1"/>
  <c r="X116" i="31" s="1"/>
  <c r="U115" i="31" a="1"/>
  <c r="U115" i="31" s="1"/>
  <c r="Y114" i="31" a="1"/>
  <c r="Y114" i="31" s="1"/>
  <c r="U113" i="31" a="1"/>
  <c r="U113" i="31" s="1"/>
  <c r="Y112" i="31" a="1"/>
  <c r="Y112" i="31" s="1"/>
  <c r="V111" i="31" a="1"/>
  <c r="V111" i="31" s="1"/>
  <c r="Z110" i="31" a="1"/>
  <c r="Z110" i="31" s="1"/>
  <c r="W109" i="31" a="1"/>
  <c r="W109" i="31" s="1"/>
  <c r="V106" i="31" a="1"/>
  <c r="V106" i="31" s="1"/>
  <c r="Z105" i="31" a="1"/>
  <c r="Z105" i="31" s="1"/>
  <c r="V104" i="31" a="1"/>
  <c r="V104" i="31" s="1"/>
  <c r="Z103" i="31" a="1"/>
  <c r="Z103" i="31" s="1"/>
  <c r="U102" i="31" a="1"/>
  <c r="U102" i="31" s="1"/>
  <c r="Y101" i="31" a="1"/>
  <c r="Y101" i="31" s="1"/>
  <c r="AA96" i="31" a="1"/>
  <c r="AA96" i="31" s="1"/>
  <c r="T95" i="31" a="1"/>
  <c r="T95" i="31" s="1"/>
  <c r="X92" i="31" a="1"/>
  <c r="X92" i="31" s="1"/>
  <c r="AA86" i="31" a="1"/>
  <c r="AA86" i="31" s="1"/>
  <c r="AA121" i="31" a="1"/>
  <c r="AA121" i="31" s="1"/>
  <c r="W120" i="31" a="1"/>
  <c r="W120" i="31" s="1"/>
  <c r="T119" i="31" a="1"/>
  <c r="T119" i="31" s="1"/>
  <c r="Y116" i="31" a="1"/>
  <c r="Y116" i="31" s="1"/>
  <c r="Z130" i="31" a="1"/>
  <c r="Z130" i="31" s="1"/>
  <c r="X129" i="31" a="1"/>
  <c r="X129" i="31" s="1"/>
  <c r="T128" i="31" a="1"/>
  <c r="T128" i="31" s="1"/>
  <c r="X127" i="31" a="1"/>
  <c r="X127" i="31" s="1"/>
  <c r="U126" i="31" a="1"/>
  <c r="U126" i="31" s="1"/>
  <c r="Y125" i="31" a="1"/>
  <c r="Y125" i="31" s="1"/>
  <c r="U124" i="31" a="1"/>
  <c r="U124" i="31" s="1"/>
  <c r="Y123" i="31" a="1"/>
  <c r="Y123" i="31" s="1"/>
  <c r="U122" i="31" a="1"/>
  <c r="U122" i="31" s="1"/>
  <c r="Y121" i="31" a="1"/>
  <c r="Y121" i="31" s="1"/>
  <c r="U120" i="31" a="1"/>
  <c r="U120" i="31" s="1"/>
  <c r="Z119" i="31" a="1"/>
  <c r="Z119" i="31" s="1"/>
  <c r="V118" i="31" a="1"/>
  <c r="V118" i="31" s="1"/>
  <c r="AA117" i="31" a="1"/>
  <c r="AA117" i="31" s="1"/>
  <c r="W116" i="31" a="1"/>
  <c r="W116" i="31" s="1"/>
  <c r="T115" i="31" a="1"/>
  <c r="T115" i="31" s="1"/>
  <c r="X114" i="31" a="1"/>
  <c r="X114" i="31" s="1"/>
  <c r="T113" i="31" a="1"/>
  <c r="T113" i="31" s="1"/>
  <c r="X112" i="31" a="1"/>
  <c r="X112" i="31" s="1"/>
  <c r="U111" i="31" a="1"/>
  <c r="U111" i="31" s="1"/>
  <c r="Y110" i="31" a="1"/>
  <c r="Y110" i="31" s="1"/>
  <c r="V109" i="31" a="1"/>
  <c r="V109" i="31" s="1"/>
  <c r="AA108" i="31" a="1"/>
  <c r="AA108" i="31" s="1"/>
  <c r="T108" i="31" a="1"/>
  <c r="T108" i="31" s="1"/>
  <c r="Y107" i="31" a="1"/>
  <c r="Y107" i="31" s="1"/>
  <c r="U106" i="31" a="1"/>
  <c r="U106" i="31" s="1"/>
  <c r="Y105" i="31" a="1"/>
  <c r="Y105" i="31" s="1"/>
  <c r="U104" i="31" a="1"/>
  <c r="U104" i="31" s="1"/>
  <c r="Y103" i="31" a="1"/>
  <c r="Y103" i="31" s="1"/>
  <c r="T102" i="31" a="1"/>
  <c r="T102" i="31" s="1"/>
  <c r="X101" i="31" a="1"/>
  <c r="X101" i="31" s="1"/>
  <c r="Z100" i="31" a="1"/>
  <c r="Z100" i="31" s="1"/>
  <c r="AA98" i="31" a="1"/>
  <c r="AA98" i="31" s="1"/>
  <c r="AA97" i="31" a="1"/>
  <c r="AA97" i="31" s="1"/>
  <c r="Y96" i="31" a="1"/>
  <c r="Y96" i="31" s="1"/>
  <c r="AA93" i="31" a="1"/>
  <c r="AA93" i="31" s="1"/>
  <c r="W92" i="31" a="1"/>
  <c r="W92" i="31" s="1"/>
  <c r="AA90" i="31" a="1"/>
  <c r="AA90" i="31" s="1"/>
  <c r="T86" i="31" a="1"/>
  <c r="T86" i="31" s="1"/>
  <c r="W129" i="31" a="1"/>
  <c r="W129" i="31" s="1"/>
  <c r="AA128" i="31" a="1"/>
  <c r="AA128" i="31" s="1"/>
  <c r="T126" i="31" a="1"/>
  <c r="T126" i="31" s="1"/>
  <c r="X125" i="31" a="1"/>
  <c r="X125" i="31" s="1"/>
  <c r="T124" i="31" a="1"/>
  <c r="T124" i="31" s="1"/>
  <c r="X123" i="31" a="1"/>
  <c r="X123" i="31" s="1"/>
  <c r="T122" i="31" a="1"/>
  <c r="T122" i="31" s="1"/>
  <c r="X121" i="31" a="1"/>
  <c r="X121" i="31" s="1"/>
  <c r="Y119" i="31" a="1"/>
  <c r="Y119" i="31" s="1"/>
  <c r="Z117" i="31" a="1"/>
  <c r="Z117" i="31" s="1"/>
  <c r="V116" i="31" a="1"/>
  <c r="V116" i="31" s="1"/>
  <c r="AA115" i="31" a="1"/>
  <c r="AA115" i="31" s="1"/>
  <c r="W114" i="31" a="1"/>
  <c r="W114" i="31" s="1"/>
  <c r="AA113" i="31" a="1"/>
  <c r="AA113" i="31" s="1"/>
  <c r="W112" i="31" a="1"/>
  <c r="W112" i="31" s="1"/>
  <c r="T111" i="31" a="1"/>
  <c r="T111" i="31" s="1"/>
  <c r="X110" i="31" a="1"/>
  <c r="X110" i="31" s="1"/>
  <c r="Z108" i="31" a="1"/>
  <c r="Z108" i="31" s="1"/>
  <c r="X107" i="31" a="1"/>
  <c r="X107" i="31" s="1"/>
  <c r="T106" i="31" a="1"/>
  <c r="T106" i="31" s="1"/>
  <c r="X105" i="31" a="1"/>
  <c r="X105" i="31" s="1"/>
  <c r="T104" i="31" a="1"/>
  <c r="T104" i="31" s="1"/>
  <c r="X103" i="31" a="1"/>
  <c r="X103" i="31" s="1"/>
  <c r="V101" i="31" a="1"/>
  <c r="V101" i="31" s="1"/>
  <c r="Y100" i="31" a="1"/>
  <c r="Y100" i="31" s="1"/>
  <c r="X93" i="31" a="1"/>
  <c r="X93" i="31" s="1"/>
  <c r="T7" i="31" a="1"/>
  <c r="T7" i="31" s="1"/>
  <c r="T36" i="31" a="1"/>
  <c r="T36" i="31" s="1"/>
  <c r="T44" i="31" a="1"/>
  <c r="T44" i="31" s="1"/>
  <c r="T9" i="31" a="1"/>
  <c r="T9" i="31" s="1"/>
  <c r="T11" i="31" a="1"/>
  <c r="T11" i="31" s="1"/>
  <c r="T13" i="31" a="1"/>
  <c r="T13" i="31" s="1"/>
  <c r="T15" i="31" a="1"/>
  <c r="T15" i="31" s="1"/>
  <c r="T17" i="31" a="1"/>
  <c r="T17" i="31" s="1"/>
  <c r="T19" i="31" a="1"/>
  <c r="T19" i="31" s="1"/>
  <c r="T21" i="31" a="1"/>
  <c r="T21" i="31" s="1"/>
  <c r="T23" i="31" a="1"/>
  <c r="T23" i="31" s="1"/>
  <c r="T25" i="31" a="1"/>
  <c r="T25" i="31" s="1"/>
  <c r="T27" i="31" a="1"/>
  <c r="T27" i="31" s="1"/>
  <c r="T29" i="31" a="1"/>
  <c r="T29" i="31" s="1"/>
  <c r="T31" i="31" a="1"/>
  <c r="T31" i="31" s="1"/>
  <c r="T33" i="31" a="1"/>
  <c r="T33" i="31" s="1"/>
  <c r="T46" i="31" a="1"/>
  <c r="T46" i="31" s="1"/>
  <c r="T49" i="31" a="1"/>
  <c r="T49" i="31" s="1"/>
  <c r="T51" i="31" a="1"/>
  <c r="T51" i="31" s="1"/>
  <c r="T35" i="31" a="1"/>
  <c r="T35" i="31" s="1"/>
  <c r="T39" i="31" a="1"/>
  <c r="T39" i="31" s="1"/>
  <c r="T41" i="31" a="1"/>
  <c r="T41" i="31" s="1"/>
  <c r="T43" i="31" a="1"/>
  <c r="T43" i="31" s="1"/>
  <c r="T48" i="31" a="1"/>
  <c r="T48" i="31" s="1"/>
  <c r="T6" i="31" a="1"/>
  <c r="T6" i="31" s="1"/>
  <c r="T8" i="31" a="1"/>
  <c r="T8" i="31" s="1"/>
  <c r="T10" i="31" a="1"/>
  <c r="T10" i="31" s="1"/>
  <c r="T12" i="31" a="1"/>
  <c r="T12" i="31" s="1"/>
  <c r="T14" i="31" a="1"/>
  <c r="T14" i="31" s="1"/>
  <c r="T16" i="31" a="1"/>
  <c r="T16" i="31" s="1"/>
  <c r="T18" i="31" a="1"/>
  <c r="T18" i="31" s="1"/>
  <c r="T20" i="31" a="1"/>
  <c r="T20" i="31" s="1"/>
  <c r="T22" i="31" a="1"/>
  <c r="T22" i="31" s="1"/>
  <c r="T24" i="31" a="1"/>
  <c r="T24" i="31" s="1"/>
  <c r="T26" i="31" a="1"/>
  <c r="T26" i="31" s="1"/>
  <c r="T28" i="31" a="1"/>
  <c r="T28" i="31" s="1"/>
  <c r="T30" i="31" a="1"/>
  <c r="T30" i="31" s="1"/>
  <c r="T32" i="31" a="1"/>
  <c r="T32" i="31" s="1"/>
  <c r="T38" i="31" a="1"/>
  <c r="T38" i="31" s="1"/>
  <c r="T45" i="31" a="1"/>
  <c r="T45" i="31" s="1"/>
  <c r="T47" i="31" a="1"/>
  <c r="T47" i="31" s="1"/>
  <c r="T34" i="31" a="1"/>
  <c r="T34" i="31" s="1"/>
  <c r="T37" i="31" a="1"/>
  <c r="T37" i="31" s="1"/>
  <c r="T59" i="31" a="1"/>
  <c r="T59" i="31" s="1"/>
  <c r="T61" i="31" a="1"/>
  <c r="T61" i="31" s="1"/>
  <c r="T69" i="31" a="1"/>
  <c r="T69" i="31" s="1"/>
  <c r="T71" i="31" a="1"/>
  <c r="T71" i="31" s="1"/>
  <c r="T87" i="31" a="1"/>
  <c r="T87" i="31" s="1"/>
  <c r="T89" i="31" a="1"/>
  <c r="T89" i="31" s="1"/>
  <c r="T42" i="31" a="1"/>
  <c r="T42" i="31" s="1"/>
  <c r="T53" i="31" a="1"/>
  <c r="T53" i="31" s="1"/>
  <c r="T54" i="31" a="1"/>
  <c r="T54" i="31" s="1"/>
  <c r="T55" i="31" a="1"/>
  <c r="T55" i="31" s="1"/>
  <c r="T63" i="31" a="1"/>
  <c r="T63" i="31" s="1"/>
  <c r="T73" i="31" a="1"/>
  <c r="T73" i="31" s="1"/>
  <c r="T75" i="31" a="1"/>
  <c r="T75" i="31" s="1"/>
  <c r="T78" i="31" a="1"/>
  <c r="T78" i="31" s="1"/>
  <c r="T91" i="31" a="1"/>
  <c r="T91" i="31" s="1"/>
  <c r="T96" i="31" a="1"/>
  <c r="T96" i="31" s="1"/>
  <c r="T52" i="31" a="1"/>
  <c r="T52" i="31" s="1"/>
  <c r="T56" i="31" a="1"/>
  <c r="T56" i="31" s="1"/>
  <c r="T66" i="31" a="1"/>
  <c r="T66" i="31" s="1"/>
  <c r="T81" i="31" a="1"/>
  <c r="T81" i="31" s="1"/>
  <c r="T84" i="31" a="1"/>
  <c r="T84" i="31" s="1"/>
  <c r="T40" i="31" a="1"/>
  <c r="T40" i="31" s="1"/>
  <c r="T57" i="31" a="1"/>
  <c r="T57" i="31" s="1"/>
  <c r="T68" i="31" a="1"/>
  <c r="T68" i="31" s="1"/>
  <c r="T58" i="31" a="1"/>
  <c r="T58" i="31" s="1"/>
  <c r="T60" i="31" a="1"/>
  <c r="T60" i="31" s="1"/>
  <c r="T70" i="31" a="1"/>
  <c r="T70" i="31" s="1"/>
  <c r="T77" i="31" a="1"/>
  <c r="T77" i="31" s="1"/>
  <c r="T80" i="31" a="1"/>
  <c r="T80" i="31" s="1"/>
  <c r="T88" i="31" a="1"/>
  <c r="T88" i="31" s="1"/>
  <c r="T90" i="31" a="1"/>
  <c r="T90" i="31" s="1"/>
  <c r="T62" i="31" a="1"/>
  <c r="T62" i="31" s="1"/>
  <c r="T65" i="31" a="1"/>
  <c r="T65" i="31" s="1"/>
  <c r="T72" i="31" a="1"/>
  <c r="T72" i="31" s="1"/>
  <c r="T74" i="31" a="1"/>
  <c r="T74" i="31" s="1"/>
  <c r="T83" i="31" a="1"/>
  <c r="T83" i="31" s="1"/>
  <c r="T100" i="31" a="1"/>
  <c r="T100" i="31" s="1"/>
  <c r="T50" i="31" a="1"/>
  <c r="T50" i="31" s="1"/>
  <c r="T67" i="31" a="1"/>
  <c r="T67" i="31" s="1"/>
  <c r="T64" i="31" a="1"/>
  <c r="T64" i="31" s="1"/>
  <c r="T76" i="31" a="1"/>
  <c r="T76" i="31" s="1"/>
  <c r="T79" i="31" a="1"/>
  <c r="T79" i="31" s="1"/>
  <c r="T82" i="31" a="1"/>
  <c r="T82" i="31" s="1"/>
  <c r="T85" i="31" a="1"/>
  <c r="T85" i="31" s="1"/>
  <c r="U7" i="31" a="1"/>
  <c r="U7" i="31" s="1"/>
  <c r="U36" i="31" a="1"/>
  <c r="U36" i="31" s="1"/>
  <c r="U44" i="31" a="1"/>
  <c r="U44" i="31" s="1"/>
  <c r="U9" i="31" a="1"/>
  <c r="U9" i="31" s="1"/>
  <c r="U11" i="31" a="1"/>
  <c r="U11" i="31" s="1"/>
  <c r="U13" i="31" a="1"/>
  <c r="U13" i="31" s="1"/>
  <c r="U15" i="31" a="1"/>
  <c r="U15" i="31" s="1"/>
  <c r="U17" i="31" a="1"/>
  <c r="U17" i="31" s="1"/>
  <c r="U19" i="31" a="1"/>
  <c r="U19" i="31" s="1"/>
  <c r="U21" i="31" a="1"/>
  <c r="U21" i="31" s="1"/>
  <c r="U23" i="31" a="1"/>
  <c r="U23" i="31" s="1"/>
  <c r="U25" i="31" a="1"/>
  <c r="U25" i="31" s="1"/>
  <c r="U27" i="31" a="1"/>
  <c r="U27" i="31" s="1"/>
  <c r="U29" i="31" a="1"/>
  <c r="U29" i="31" s="1"/>
  <c r="U31" i="31" a="1"/>
  <c r="U31" i="31" s="1"/>
  <c r="U33" i="31" a="1"/>
  <c r="U33" i="31" s="1"/>
  <c r="U46" i="31" a="1"/>
  <c r="U46" i="31" s="1"/>
  <c r="U49" i="31" a="1"/>
  <c r="U49" i="31" s="1"/>
  <c r="U51" i="31" a="1"/>
  <c r="U51" i="31" s="1"/>
  <c r="U53" i="31" a="1"/>
  <c r="U53" i="31" s="1"/>
  <c r="U56" i="31" a="1"/>
  <c r="U56" i="31" s="1"/>
  <c r="U35" i="31" a="1"/>
  <c r="U35" i="31" s="1"/>
  <c r="U39" i="31" a="1"/>
  <c r="U39" i="31" s="1"/>
  <c r="U41" i="31" a="1"/>
  <c r="U41" i="31" s="1"/>
  <c r="U43" i="31" a="1"/>
  <c r="U43" i="31" s="1"/>
  <c r="U6" i="31" a="1"/>
  <c r="U6" i="31" s="1"/>
  <c r="U8" i="31" a="1"/>
  <c r="U8" i="31" s="1"/>
  <c r="U10" i="31" a="1"/>
  <c r="U10" i="31" s="1"/>
  <c r="U12" i="31" a="1"/>
  <c r="U12" i="31" s="1"/>
  <c r="U14" i="31" a="1"/>
  <c r="U14" i="31" s="1"/>
  <c r="U16" i="31" a="1"/>
  <c r="U16" i="31" s="1"/>
  <c r="U18" i="31" a="1"/>
  <c r="U18" i="31" s="1"/>
  <c r="U20" i="31" a="1"/>
  <c r="U20" i="31" s="1"/>
  <c r="U22" i="31" a="1"/>
  <c r="U22" i="31" s="1"/>
  <c r="U24" i="31" a="1"/>
  <c r="U24" i="31" s="1"/>
  <c r="U26" i="31" a="1"/>
  <c r="U26" i="31" s="1"/>
  <c r="U28" i="31" a="1"/>
  <c r="U28" i="31" s="1"/>
  <c r="U30" i="31" a="1"/>
  <c r="U30" i="31" s="1"/>
  <c r="U32" i="31" a="1"/>
  <c r="U32" i="31" s="1"/>
  <c r="U34" i="31" a="1"/>
  <c r="U34" i="31" s="1"/>
  <c r="U37" i="31" a="1"/>
  <c r="U37" i="31" s="1"/>
  <c r="U40" i="31" a="1"/>
  <c r="U40" i="31" s="1"/>
  <c r="U42" i="31" a="1"/>
  <c r="U42" i="31" s="1"/>
  <c r="U38" i="31" a="1"/>
  <c r="U38" i="31" s="1"/>
  <c r="U64" i="31" a="1"/>
  <c r="U64" i="31" s="1"/>
  <c r="U76" i="31" a="1"/>
  <c r="U76" i="31" s="1"/>
  <c r="U79" i="31" a="1"/>
  <c r="U79" i="31" s="1"/>
  <c r="U85" i="31" a="1"/>
  <c r="U85" i="31" s="1"/>
  <c r="U92" i="31" a="1"/>
  <c r="U92" i="31" s="1"/>
  <c r="U94" i="31" a="1"/>
  <c r="U94" i="31" s="1"/>
  <c r="U97" i="31" a="1"/>
  <c r="U97" i="31" s="1"/>
  <c r="U59" i="31" a="1"/>
  <c r="U59" i="31" s="1"/>
  <c r="U61" i="31" a="1"/>
  <c r="U61" i="31" s="1"/>
  <c r="U69" i="31" a="1"/>
  <c r="U69" i="31" s="1"/>
  <c r="U82" i="31" a="1"/>
  <c r="U82" i="31" s="1"/>
  <c r="U87" i="31" a="1"/>
  <c r="U87" i="31" s="1"/>
  <c r="U89" i="31" a="1"/>
  <c r="U89" i="31" s="1"/>
  <c r="U54" i="31" a="1"/>
  <c r="U54" i="31" s="1"/>
  <c r="U63" i="31" a="1"/>
  <c r="U63" i="31" s="1"/>
  <c r="U71" i="31" a="1"/>
  <c r="U71" i="31" s="1"/>
  <c r="U73" i="31" a="1"/>
  <c r="U73" i="31" s="1"/>
  <c r="U75" i="31" a="1"/>
  <c r="U75" i="31" s="1"/>
  <c r="U91" i="31" a="1"/>
  <c r="U91" i="31" s="1"/>
  <c r="U52" i="31" a="1"/>
  <c r="U52" i="31" s="1"/>
  <c r="U55" i="31" a="1"/>
  <c r="U55" i="31" s="1"/>
  <c r="U66" i="31" a="1"/>
  <c r="U66" i="31" s="1"/>
  <c r="U78" i="31" a="1"/>
  <c r="U78" i="31" s="1"/>
  <c r="U81" i="31" a="1"/>
  <c r="U81" i="31" s="1"/>
  <c r="U48" i="31" a="1"/>
  <c r="U48" i="31" s="1"/>
  <c r="U57" i="31" a="1"/>
  <c r="U57" i="31" s="1"/>
  <c r="U84" i="31" a="1"/>
  <c r="U84" i="31" s="1"/>
  <c r="U86" i="31" a="1"/>
  <c r="U86" i="31" s="1"/>
  <c r="U58" i="31" a="1"/>
  <c r="U58" i="31" s="1"/>
  <c r="U60" i="31" a="1"/>
  <c r="U60" i="31" s="1"/>
  <c r="U68" i="31" a="1"/>
  <c r="U68" i="31" s="1"/>
  <c r="U70" i="31" a="1"/>
  <c r="U70" i="31" s="1"/>
  <c r="U77" i="31" a="1"/>
  <c r="U77" i="31" s="1"/>
  <c r="U88" i="31" a="1"/>
  <c r="U88" i="31" s="1"/>
  <c r="U90" i="31" a="1"/>
  <c r="U90" i="31" s="1"/>
  <c r="U95" i="31" a="1"/>
  <c r="U95" i="31" s="1"/>
  <c r="U98" i="31" a="1"/>
  <c r="U98" i="31" s="1"/>
  <c r="U45" i="31" a="1"/>
  <c r="U45" i="31" s="1"/>
  <c r="U62" i="31" a="1"/>
  <c r="U62" i="31" s="1"/>
  <c r="U65" i="31" a="1"/>
  <c r="U65" i="31" s="1"/>
  <c r="U72" i="31" a="1"/>
  <c r="U72" i="31" s="1"/>
  <c r="U74" i="31" a="1"/>
  <c r="U74" i="31" s="1"/>
  <c r="U80" i="31" a="1"/>
  <c r="U80" i="31" s="1"/>
  <c r="U83" i="31" a="1"/>
  <c r="U83" i="31" s="1"/>
  <c r="U100" i="31" a="1"/>
  <c r="U100" i="31" s="1"/>
  <c r="U47" i="31" a="1"/>
  <c r="U47" i="31" s="1"/>
  <c r="U50" i="31" a="1"/>
  <c r="U50" i="31" s="1"/>
  <c r="U67" i="31" a="1"/>
  <c r="U67" i="31" s="1"/>
  <c r="X6" i="31" a="1"/>
  <c r="X6" i="31" s="1"/>
  <c r="X8" i="31" a="1"/>
  <c r="X8" i="31" s="1"/>
  <c r="X10" i="31" a="1"/>
  <c r="X10" i="31" s="1"/>
  <c r="X12" i="31" a="1"/>
  <c r="X12" i="31" s="1"/>
  <c r="X14" i="31" a="1"/>
  <c r="X14" i="31" s="1"/>
  <c r="X16" i="31" a="1"/>
  <c r="X16" i="31" s="1"/>
  <c r="X18" i="31" a="1"/>
  <c r="X18" i="31" s="1"/>
  <c r="X20" i="31" a="1"/>
  <c r="X20" i="31" s="1"/>
  <c r="X22" i="31" a="1"/>
  <c r="X22" i="31" s="1"/>
  <c r="X24" i="31" a="1"/>
  <c r="X24" i="31" s="1"/>
  <c r="X26" i="31" a="1"/>
  <c r="X26" i="31" s="1"/>
  <c r="X28" i="31" a="1"/>
  <c r="X28" i="31" s="1"/>
  <c r="X30" i="31" a="1"/>
  <c r="X30" i="31" s="1"/>
  <c r="X32" i="31" a="1"/>
  <c r="X32" i="31" s="1"/>
  <c r="X38" i="31" a="1"/>
  <c r="X38" i="31" s="1"/>
  <c r="X45" i="31" a="1"/>
  <c r="X45" i="31" s="1"/>
  <c r="X50" i="31" a="1"/>
  <c r="X50" i="31" s="1"/>
  <c r="X52" i="31" a="1"/>
  <c r="X52" i="31" s="1"/>
  <c r="X34" i="31" a="1"/>
  <c r="X34" i="31" s="1"/>
  <c r="X40" i="31" a="1"/>
  <c r="X40" i="31" s="1"/>
  <c r="X42" i="31" a="1"/>
  <c r="X42" i="31" s="1"/>
  <c r="X47" i="31" a="1"/>
  <c r="X47" i="31" s="1"/>
  <c r="X54" i="31" a="1"/>
  <c r="X54" i="31" s="1"/>
  <c r="X57" i="31" a="1"/>
  <c r="X57" i="31" s="1"/>
  <c r="X37" i="31" a="1"/>
  <c r="X37" i="31" s="1"/>
  <c r="X7" i="31" a="1"/>
  <c r="X7" i="31" s="1"/>
  <c r="X36" i="31" a="1"/>
  <c r="X36" i="31" s="1"/>
  <c r="X9" i="31" a="1"/>
  <c r="X9" i="31" s="1"/>
  <c r="X11" i="31" a="1"/>
  <c r="X11" i="31" s="1"/>
  <c r="X13" i="31" a="1"/>
  <c r="X13" i="31" s="1"/>
  <c r="X15" i="31" a="1"/>
  <c r="X15" i="31" s="1"/>
  <c r="X17" i="31" a="1"/>
  <c r="X17" i="31" s="1"/>
  <c r="X19" i="31" a="1"/>
  <c r="X19" i="31" s="1"/>
  <c r="X21" i="31" a="1"/>
  <c r="X21" i="31" s="1"/>
  <c r="X23" i="31" a="1"/>
  <c r="X23" i="31" s="1"/>
  <c r="X25" i="31" a="1"/>
  <c r="X25" i="31" s="1"/>
  <c r="X27" i="31" a="1"/>
  <c r="X27" i="31" s="1"/>
  <c r="X29" i="31" a="1"/>
  <c r="X29" i="31" s="1"/>
  <c r="X31" i="31" a="1"/>
  <c r="X31" i="31" s="1"/>
  <c r="X33" i="31" a="1"/>
  <c r="X33" i="31" s="1"/>
  <c r="X46" i="31" a="1"/>
  <c r="X46" i="31" s="1"/>
  <c r="X49" i="31" a="1"/>
  <c r="X49" i="31" s="1"/>
  <c r="X35" i="31" a="1"/>
  <c r="X35" i="31" s="1"/>
  <c r="X58" i="31" a="1"/>
  <c r="X58" i="31" s="1"/>
  <c r="X60" i="31" a="1"/>
  <c r="X60" i="31" s="1"/>
  <c r="X68" i="31" a="1"/>
  <c r="X68" i="31" s="1"/>
  <c r="X70" i="31" a="1"/>
  <c r="X70" i="31" s="1"/>
  <c r="X77" i="31" a="1"/>
  <c r="X77" i="31" s="1"/>
  <c r="X86" i="31" a="1"/>
  <c r="X86" i="31" s="1"/>
  <c r="X88" i="31" a="1"/>
  <c r="X88" i="31" s="1"/>
  <c r="X90" i="31" a="1"/>
  <c r="X90" i="31" s="1"/>
  <c r="X95" i="31" a="1"/>
  <c r="X95" i="31" s="1"/>
  <c r="X62" i="31" a="1"/>
  <c r="X62" i="31" s="1"/>
  <c r="X65" i="31" a="1"/>
  <c r="X65" i="31" s="1"/>
  <c r="X72" i="31" a="1"/>
  <c r="X72" i="31" s="1"/>
  <c r="X74" i="31" a="1"/>
  <c r="X74" i="31" s="1"/>
  <c r="X80" i="31" a="1"/>
  <c r="X80" i="31" s="1"/>
  <c r="X83" i="31" a="1"/>
  <c r="X83" i="31" s="1"/>
  <c r="X39" i="31" a="1"/>
  <c r="X39" i="31" s="1"/>
  <c r="X44" i="31" a="1"/>
  <c r="X44" i="31" s="1"/>
  <c r="X67" i="31" a="1"/>
  <c r="X67" i="31" s="1"/>
  <c r="X53" i="31" a="1"/>
  <c r="X53" i="31" s="1"/>
  <c r="X64" i="31" a="1"/>
  <c r="X64" i="31" s="1"/>
  <c r="X79" i="31" a="1"/>
  <c r="X79" i="31" s="1"/>
  <c r="X56" i="31" a="1"/>
  <c r="X56" i="31" s="1"/>
  <c r="X59" i="31" a="1"/>
  <c r="X59" i="31" s="1"/>
  <c r="X61" i="31" a="1"/>
  <c r="X61" i="31" s="1"/>
  <c r="X69" i="31" a="1"/>
  <c r="X69" i="31" s="1"/>
  <c r="X76" i="31" a="1"/>
  <c r="X76" i="31" s="1"/>
  <c r="X82" i="31" a="1"/>
  <c r="X82" i="31" s="1"/>
  <c r="X87" i="31" a="1"/>
  <c r="X87" i="31" s="1"/>
  <c r="X89" i="31" a="1"/>
  <c r="X89" i="31" s="1"/>
  <c r="X55" i="31" a="1"/>
  <c r="X55" i="31" s="1"/>
  <c r="X71" i="31" a="1"/>
  <c r="X71" i="31" s="1"/>
  <c r="X73" i="31" a="1"/>
  <c r="X73" i="31" s="1"/>
  <c r="X99" i="31" a="1"/>
  <c r="X99" i="31" s="1"/>
  <c r="X43" i="31" a="1"/>
  <c r="X43" i="31" s="1"/>
  <c r="X48" i="31" a="1"/>
  <c r="X48" i="31" s="1"/>
  <c r="X51" i="31" a="1"/>
  <c r="X51" i="31" s="1"/>
  <c r="X63" i="31" a="1"/>
  <c r="X63" i="31" s="1"/>
  <c r="X66" i="31" a="1"/>
  <c r="X66" i="31" s="1"/>
  <c r="X75" i="31" a="1"/>
  <c r="X75" i="31" s="1"/>
  <c r="X78" i="31" a="1"/>
  <c r="X78" i="31" s="1"/>
  <c r="X81" i="31" a="1"/>
  <c r="X81" i="31" s="1"/>
  <c r="X91" i="31" a="1"/>
  <c r="X91" i="31" s="1"/>
  <c r="X96" i="31" a="1"/>
  <c r="X96" i="31" s="1"/>
  <c r="X41" i="31" a="1"/>
  <c r="X41" i="31" s="1"/>
  <c r="X84" i="31" a="1"/>
  <c r="X84" i="31" s="1"/>
  <c r="W8" i="31" a="1"/>
  <c r="W8" i="31" s="1"/>
  <c r="W10" i="31" a="1"/>
  <c r="W10" i="31" s="1"/>
  <c r="W12" i="31" a="1"/>
  <c r="W12" i="31" s="1"/>
  <c r="W14" i="31" a="1"/>
  <c r="W14" i="31" s="1"/>
  <c r="W16" i="31" a="1"/>
  <c r="W16" i="31" s="1"/>
  <c r="W18" i="31" a="1"/>
  <c r="W18" i="31" s="1"/>
  <c r="W20" i="31" a="1"/>
  <c r="W20" i="31" s="1"/>
  <c r="W22" i="31" a="1"/>
  <c r="W22" i="31" s="1"/>
  <c r="W24" i="31" a="1"/>
  <c r="W24" i="31" s="1"/>
  <c r="W26" i="31" a="1"/>
  <c r="W26" i="31" s="1"/>
  <c r="W28" i="31" a="1"/>
  <c r="W28" i="31" s="1"/>
  <c r="W30" i="31" a="1"/>
  <c r="W30" i="31" s="1"/>
  <c r="W32" i="31" a="1"/>
  <c r="W32" i="31" s="1"/>
  <c r="W38" i="31" a="1"/>
  <c r="W38" i="31" s="1"/>
  <c r="W45" i="31" a="1"/>
  <c r="W45" i="31" s="1"/>
  <c r="W50" i="31" a="1"/>
  <c r="W50" i="31" s="1"/>
  <c r="W52" i="31" a="1"/>
  <c r="W52" i="31" s="1"/>
  <c r="W55" i="31" a="1"/>
  <c r="W55" i="31" s="1"/>
  <c r="W34" i="31" a="1"/>
  <c r="W34" i="31" s="1"/>
  <c r="W40" i="31" a="1"/>
  <c r="W40" i="31" s="1"/>
  <c r="W42" i="31" a="1"/>
  <c r="W42" i="31" s="1"/>
  <c r="W47" i="31" a="1"/>
  <c r="W47" i="31" s="1"/>
  <c r="W37" i="31" a="1"/>
  <c r="W37" i="31" s="1"/>
  <c r="W7" i="31" a="1"/>
  <c r="W7" i="31" s="1"/>
  <c r="W36" i="31" a="1"/>
  <c r="W36" i="31" s="1"/>
  <c r="W44" i="31" a="1"/>
  <c r="W44" i="31" s="1"/>
  <c r="W9" i="31" a="1"/>
  <c r="W9" i="31" s="1"/>
  <c r="W11" i="31" a="1"/>
  <c r="W11" i="31" s="1"/>
  <c r="W13" i="31" a="1"/>
  <c r="W13" i="31" s="1"/>
  <c r="W15" i="31" a="1"/>
  <c r="W15" i="31" s="1"/>
  <c r="W17" i="31" a="1"/>
  <c r="W17" i="31" s="1"/>
  <c r="W19" i="31" a="1"/>
  <c r="W19" i="31" s="1"/>
  <c r="W21" i="31" a="1"/>
  <c r="W21" i="31" s="1"/>
  <c r="W23" i="31" a="1"/>
  <c r="W23" i="31" s="1"/>
  <c r="W25" i="31" a="1"/>
  <c r="W25" i="31" s="1"/>
  <c r="W27" i="31" a="1"/>
  <c r="W27" i="31" s="1"/>
  <c r="W29" i="31" a="1"/>
  <c r="W29" i="31" s="1"/>
  <c r="W31" i="31" a="1"/>
  <c r="W31" i="31" s="1"/>
  <c r="W33" i="31" a="1"/>
  <c r="W33" i="31" s="1"/>
  <c r="W39" i="31" a="1"/>
  <c r="W39" i="31" s="1"/>
  <c r="W41" i="31" a="1"/>
  <c r="W41" i="31" s="1"/>
  <c r="W35" i="31" a="1"/>
  <c r="W35" i="31" s="1"/>
  <c r="W6" i="31" a="1"/>
  <c r="W6" i="31" s="1"/>
  <c r="W62" i="31" a="1"/>
  <c r="W62" i="31" s="1"/>
  <c r="W65" i="31" a="1"/>
  <c r="W65" i="31" s="1"/>
  <c r="W72" i="31" a="1"/>
  <c r="W72" i="31" s="1"/>
  <c r="W74" i="31" a="1"/>
  <c r="W74" i="31" s="1"/>
  <c r="W80" i="31" a="1"/>
  <c r="W80" i="31" s="1"/>
  <c r="W83" i="31" a="1"/>
  <c r="W83" i="31" s="1"/>
  <c r="W98" i="31" a="1"/>
  <c r="W98" i="31" s="1"/>
  <c r="W67" i="31" a="1"/>
  <c r="W67" i="31" s="1"/>
  <c r="W49" i="31" a="1"/>
  <c r="W49" i="31" s="1"/>
  <c r="W53" i="31" a="1"/>
  <c r="W53" i="31" s="1"/>
  <c r="W64" i="31" a="1"/>
  <c r="W64" i="31" s="1"/>
  <c r="W79" i="31" a="1"/>
  <c r="W79" i="31" s="1"/>
  <c r="W85" i="31" a="1"/>
  <c r="W85" i="31" s="1"/>
  <c r="W46" i="31" a="1"/>
  <c r="W46" i="31" s="1"/>
  <c r="W54" i="31" a="1"/>
  <c r="W54" i="31" s="1"/>
  <c r="W56" i="31" a="1"/>
  <c r="W56" i="31" s="1"/>
  <c r="W59" i="31" a="1"/>
  <c r="W59" i="31" s="1"/>
  <c r="W61" i="31" a="1"/>
  <c r="W61" i="31" s="1"/>
  <c r="W69" i="31" a="1"/>
  <c r="W69" i="31" s="1"/>
  <c r="W76" i="31" a="1"/>
  <c r="W76" i="31" s="1"/>
  <c r="W71" i="31" a="1"/>
  <c r="W71" i="31" s="1"/>
  <c r="W73" i="31" a="1"/>
  <c r="W73" i="31" s="1"/>
  <c r="W43" i="31" a="1"/>
  <c r="W43" i="31" s="1"/>
  <c r="W48" i="31" a="1"/>
  <c r="W48" i="31" s="1"/>
  <c r="W51" i="31" a="1"/>
  <c r="W51" i="31" s="1"/>
  <c r="W57" i="31" a="1"/>
  <c r="W57" i="31" s="1"/>
  <c r="W63" i="31" a="1"/>
  <c r="W63" i="31" s="1"/>
  <c r="W66" i="31" a="1"/>
  <c r="W66" i="31" s="1"/>
  <c r="W75" i="31" a="1"/>
  <c r="W75" i="31" s="1"/>
  <c r="W78" i="31" a="1"/>
  <c r="W78" i="31" s="1"/>
  <c r="W81" i="31" a="1"/>
  <c r="W81" i="31" s="1"/>
  <c r="W91" i="31" a="1"/>
  <c r="W91" i="31" s="1"/>
  <c r="W96" i="31" a="1"/>
  <c r="W96" i="31" s="1"/>
  <c r="W84" i="31" a="1"/>
  <c r="W84" i="31" s="1"/>
  <c r="W93" i="31" a="1"/>
  <c r="W93" i="31" s="1"/>
  <c r="W101" i="31" a="1"/>
  <c r="W101" i="31" s="1"/>
  <c r="W58" i="31" a="1"/>
  <c r="W58" i="31" s="1"/>
  <c r="W60" i="31" a="1"/>
  <c r="W60" i="31" s="1"/>
  <c r="W68" i="31" a="1"/>
  <c r="W68" i="31" s="1"/>
  <c r="W70" i="31" a="1"/>
  <c r="W70" i="31" s="1"/>
  <c r="W77" i="31" a="1"/>
  <c r="W77" i="31" s="1"/>
  <c r="W86" i="31" a="1"/>
  <c r="W86" i="31" s="1"/>
  <c r="W88" i="31" a="1"/>
  <c r="W88" i="31" s="1"/>
  <c r="V34" i="31" a="1"/>
  <c r="V34" i="31" s="1"/>
  <c r="V40" i="31" a="1"/>
  <c r="V40" i="31" s="1"/>
  <c r="V42" i="31" a="1"/>
  <c r="V42" i="31" s="1"/>
  <c r="V54" i="31" a="1"/>
  <c r="V54" i="31" s="1"/>
  <c r="V57" i="31" a="1"/>
  <c r="V57" i="31" s="1"/>
  <c r="V37" i="31" a="1"/>
  <c r="V37" i="31" s="1"/>
  <c r="V7" i="31" a="1"/>
  <c r="V7" i="31" s="1"/>
  <c r="V36" i="31" a="1"/>
  <c r="V36" i="31" s="1"/>
  <c r="V44" i="31" a="1"/>
  <c r="V44" i="31" s="1"/>
  <c r="V9" i="31" a="1"/>
  <c r="V9" i="31" s="1"/>
  <c r="V11" i="31" a="1"/>
  <c r="V11" i="31" s="1"/>
  <c r="V13" i="31" a="1"/>
  <c r="V13" i="31" s="1"/>
  <c r="V15" i="31" a="1"/>
  <c r="V15" i="31" s="1"/>
  <c r="V17" i="31" a="1"/>
  <c r="V17" i="31" s="1"/>
  <c r="V19" i="31" a="1"/>
  <c r="V19" i="31" s="1"/>
  <c r="V21" i="31" a="1"/>
  <c r="V21" i="31" s="1"/>
  <c r="V23" i="31" a="1"/>
  <c r="V23" i="31" s="1"/>
  <c r="V25" i="31" a="1"/>
  <c r="V25" i="31" s="1"/>
  <c r="V27" i="31" a="1"/>
  <c r="V27" i="31" s="1"/>
  <c r="V29" i="31" a="1"/>
  <c r="V29" i="31" s="1"/>
  <c r="V31" i="31" a="1"/>
  <c r="V31" i="31" s="1"/>
  <c r="V33" i="31" a="1"/>
  <c r="V33" i="31" s="1"/>
  <c r="V46" i="31" a="1"/>
  <c r="V46" i="31" s="1"/>
  <c r="V49" i="31" a="1"/>
  <c r="V49" i="31" s="1"/>
  <c r="V51" i="31" a="1"/>
  <c r="V51" i="31" s="1"/>
  <c r="V53" i="31" a="1"/>
  <c r="V53" i="31" s="1"/>
  <c r="V56" i="31" a="1"/>
  <c r="V56" i="31" s="1"/>
  <c r="V35" i="31" a="1"/>
  <c r="V35" i="31" s="1"/>
  <c r="V39" i="31" a="1"/>
  <c r="V39" i="31" s="1"/>
  <c r="V48" i="31" a="1"/>
  <c r="V48" i="31" s="1"/>
  <c r="V6" i="31" a="1"/>
  <c r="V6" i="31" s="1"/>
  <c r="V8" i="31" a="1"/>
  <c r="V8" i="31" s="1"/>
  <c r="V10" i="31" a="1"/>
  <c r="V10" i="31" s="1"/>
  <c r="V12" i="31" a="1"/>
  <c r="V12" i="31" s="1"/>
  <c r="V14" i="31" a="1"/>
  <c r="V14" i="31" s="1"/>
  <c r="V16" i="31" a="1"/>
  <c r="V16" i="31" s="1"/>
  <c r="V18" i="31" a="1"/>
  <c r="V18" i="31" s="1"/>
  <c r="V20" i="31" a="1"/>
  <c r="V20" i="31" s="1"/>
  <c r="V22" i="31" a="1"/>
  <c r="V22" i="31" s="1"/>
  <c r="V24" i="31" a="1"/>
  <c r="V24" i="31" s="1"/>
  <c r="V26" i="31" a="1"/>
  <c r="V26" i="31" s="1"/>
  <c r="V28" i="31" a="1"/>
  <c r="V28" i="31" s="1"/>
  <c r="V30" i="31" a="1"/>
  <c r="V30" i="31" s="1"/>
  <c r="V32" i="31" a="1"/>
  <c r="V32" i="31" s="1"/>
  <c r="V38" i="31" a="1"/>
  <c r="V38" i="31" s="1"/>
  <c r="V47" i="31" a="1"/>
  <c r="V47" i="31" s="1"/>
  <c r="V50" i="31" a="1"/>
  <c r="V50" i="31" s="1"/>
  <c r="V67" i="31" a="1"/>
  <c r="V67" i="31" s="1"/>
  <c r="V64" i="31" a="1"/>
  <c r="V64" i="31" s="1"/>
  <c r="V76" i="31" a="1"/>
  <c r="V76" i="31" s="1"/>
  <c r="V79" i="31" a="1"/>
  <c r="V79" i="31" s="1"/>
  <c r="V85" i="31" a="1"/>
  <c r="V85" i="31" s="1"/>
  <c r="V92" i="31" a="1"/>
  <c r="V92" i="31" s="1"/>
  <c r="V94" i="31" a="1"/>
  <c r="V94" i="31" s="1"/>
  <c r="V97" i="31" a="1"/>
  <c r="V97" i="31" s="1"/>
  <c r="V59" i="31" a="1"/>
  <c r="V59" i="31" s="1"/>
  <c r="V61" i="31" a="1"/>
  <c r="V61" i="31" s="1"/>
  <c r="V69" i="31" a="1"/>
  <c r="V69" i="31" s="1"/>
  <c r="V82" i="31" a="1"/>
  <c r="V82" i="31" s="1"/>
  <c r="V87" i="31" a="1"/>
  <c r="V87" i="31" s="1"/>
  <c r="V89" i="31" a="1"/>
  <c r="V89" i="31" s="1"/>
  <c r="V63" i="31" a="1"/>
  <c r="V63" i="31" s="1"/>
  <c r="V71" i="31" a="1"/>
  <c r="V71" i="31" s="1"/>
  <c r="V73" i="31" a="1"/>
  <c r="V73" i="31" s="1"/>
  <c r="V75" i="31" a="1"/>
  <c r="V75" i="31" s="1"/>
  <c r="V43" i="31" a="1"/>
  <c r="V43" i="31" s="1"/>
  <c r="V52" i="31" a="1"/>
  <c r="V52" i="31" s="1"/>
  <c r="V55" i="31" a="1"/>
  <c r="V55" i="31" s="1"/>
  <c r="V66" i="31" a="1"/>
  <c r="V66" i="31" s="1"/>
  <c r="V78" i="31" a="1"/>
  <c r="V78" i="31" s="1"/>
  <c r="V81" i="31" a="1"/>
  <c r="V81" i="31" s="1"/>
  <c r="V84" i="31" a="1"/>
  <c r="V84" i="31" s="1"/>
  <c r="V86" i="31" a="1"/>
  <c r="V86" i="31" s="1"/>
  <c r="V93" i="31" a="1"/>
  <c r="V93" i="31" s="1"/>
  <c r="V41" i="31" a="1"/>
  <c r="V41" i="31" s="1"/>
  <c r="V58" i="31" a="1"/>
  <c r="V58" i="31" s="1"/>
  <c r="V60" i="31" a="1"/>
  <c r="V60" i="31" s="1"/>
  <c r="V68" i="31" a="1"/>
  <c r="V68" i="31" s="1"/>
  <c r="V70" i="31" a="1"/>
  <c r="V70" i="31" s="1"/>
  <c r="V77" i="31" a="1"/>
  <c r="V77" i="31" s="1"/>
  <c r="V88" i="31" a="1"/>
  <c r="V88" i="31" s="1"/>
  <c r="V90" i="31" a="1"/>
  <c r="V90" i="31" s="1"/>
  <c r="V95" i="31" a="1"/>
  <c r="V95" i="31" s="1"/>
  <c r="V45" i="31" a="1"/>
  <c r="V45" i="31" s="1"/>
  <c r="V62" i="31" a="1"/>
  <c r="V62" i="31" s="1"/>
  <c r="V65" i="31" a="1"/>
  <c r="V65" i="31" s="1"/>
  <c r="V72" i="31" a="1"/>
  <c r="V72" i="31" s="1"/>
  <c r="V74" i="31" a="1"/>
  <c r="V74" i="31" s="1"/>
  <c r="V80" i="31" a="1"/>
  <c r="V80" i="31" s="1"/>
  <c r="V83" i="31" a="1"/>
  <c r="V83" i="31" s="1"/>
  <c r="Y35" i="31" a="1"/>
  <c r="Y35" i="31" s="1"/>
  <c r="Y43" i="31" a="1"/>
  <c r="Y43" i="31" s="1"/>
  <c r="Y58" i="31" a="1"/>
  <c r="Y58" i="31" s="1"/>
  <c r="Y6" i="31" a="1"/>
  <c r="Y6" i="31" s="1"/>
  <c r="Y48" i="31" a="1"/>
  <c r="Y48" i="31" s="1"/>
  <c r="Y8" i="31" a="1"/>
  <c r="Y8" i="31" s="1"/>
  <c r="Y10" i="31" a="1"/>
  <c r="Y10" i="31" s="1"/>
  <c r="Y12" i="31" a="1"/>
  <c r="Y12" i="31" s="1"/>
  <c r="Y14" i="31" a="1"/>
  <c r="Y14" i="31" s="1"/>
  <c r="Y16" i="31" a="1"/>
  <c r="Y16" i="31" s="1"/>
  <c r="Y18" i="31" a="1"/>
  <c r="Y18" i="31" s="1"/>
  <c r="Y20" i="31" a="1"/>
  <c r="Y20" i="31" s="1"/>
  <c r="Y22" i="31" a="1"/>
  <c r="Y22" i="31" s="1"/>
  <c r="Y24" i="31" a="1"/>
  <c r="Y24" i="31" s="1"/>
  <c r="Y26" i="31" a="1"/>
  <c r="Y26" i="31" s="1"/>
  <c r="Y28" i="31" a="1"/>
  <c r="Y28" i="31" s="1"/>
  <c r="Y30" i="31" a="1"/>
  <c r="Y30" i="31" s="1"/>
  <c r="Y32" i="31" a="1"/>
  <c r="Y32" i="31" s="1"/>
  <c r="Y38" i="31" a="1"/>
  <c r="Y38" i="31" s="1"/>
  <c r="Y45" i="31" a="1"/>
  <c r="Y45" i="31" s="1"/>
  <c r="Y50" i="31" a="1"/>
  <c r="Y50" i="31" s="1"/>
  <c r="Y52" i="31" a="1"/>
  <c r="Y52" i="31" s="1"/>
  <c r="Y55" i="31" a="1"/>
  <c r="Y55" i="31" s="1"/>
  <c r="Y34" i="31" a="1"/>
  <c r="Y34" i="31" s="1"/>
  <c r="Y40" i="31" a="1"/>
  <c r="Y40" i="31" s="1"/>
  <c r="Y42" i="31" a="1"/>
  <c r="Y42" i="31" s="1"/>
  <c r="Y47" i="31" a="1"/>
  <c r="Y47" i="31" s="1"/>
  <c r="Y54" i="31" a="1"/>
  <c r="Y54" i="31" s="1"/>
  <c r="Y37" i="31" a="1"/>
  <c r="Y37" i="31" s="1"/>
  <c r="Y7" i="31" a="1"/>
  <c r="Y7" i="31" s="1"/>
  <c r="Y9" i="31" a="1"/>
  <c r="Y9" i="31" s="1"/>
  <c r="Y11" i="31" a="1"/>
  <c r="Y11" i="31" s="1"/>
  <c r="Y13" i="31" a="1"/>
  <c r="Y13" i="31" s="1"/>
  <c r="Y15" i="31" a="1"/>
  <c r="Y15" i="31" s="1"/>
  <c r="Y17" i="31" a="1"/>
  <c r="Y17" i="31" s="1"/>
  <c r="Y19" i="31" a="1"/>
  <c r="Y19" i="31" s="1"/>
  <c r="Y21" i="31" a="1"/>
  <c r="Y21" i="31" s="1"/>
  <c r="Y23" i="31" a="1"/>
  <c r="Y23" i="31" s="1"/>
  <c r="Y25" i="31" a="1"/>
  <c r="Y25" i="31" s="1"/>
  <c r="Y27" i="31" a="1"/>
  <c r="Y27" i="31" s="1"/>
  <c r="Y29" i="31" a="1"/>
  <c r="Y29" i="31" s="1"/>
  <c r="Y31" i="31" a="1"/>
  <c r="Y31" i="31" s="1"/>
  <c r="Y36" i="31" a="1"/>
  <c r="Y36" i="31" s="1"/>
  <c r="Y33" i="31" a="1"/>
  <c r="Y33" i="31" s="1"/>
  <c r="Y39" i="31" a="1"/>
  <c r="Y39" i="31" s="1"/>
  <c r="Y41" i="31" a="1"/>
  <c r="Y41" i="31" s="1"/>
  <c r="Y81" i="31" a="1"/>
  <c r="Y81" i="31" s="1"/>
  <c r="Y84" i="31" a="1"/>
  <c r="Y84" i="31" s="1"/>
  <c r="Y93" i="31" a="1"/>
  <c r="Y93" i="31" s="1"/>
  <c r="Y60" i="31" a="1"/>
  <c r="Y60" i="31" s="1"/>
  <c r="Y68" i="31" a="1"/>
  <c r="Y68" i="31" s="1"/>
  <c r="Y70" i="31" a="1"/>
  <c r="Y70" i="31" s="1"/>
  <c r="Y86" i="31" a="1"/>
  <c r="Y86" i="31" s="1"/>
  <c r="Y88" i="31" a="1"/>
  <c r="Y88" i="31" s="1"/>
  <c r="Y90" i="31" a="1"/>
  <c r="Y90" i="31" s="1"/>
  <c r="Y95" i="31" a="1"/>
  <c r="Y95" i="31" s="1"/>
  <c r="Y62" i="31" a="1"/>
  <c r="Y62" i="31" s="1"/>
  <c r="Y65" i="31" a="1"/>
  <c r="Y65" i="31" s="1"/>
  <c r="Y72" i="31" a="1"/>
  <c r="Y72" i="31" s="1"/>
  <c r="Y74" i="31" a="1"/>
  <c r="Y74" i="31" s="1"/>
  <c r="Y77" i="31" a="1"/>
  <c r="Y77" i="31" s="1"/>
  <c r="Y80" i="31" a="1"/>
  <c r="Y80" i="31" s="1"/>
  <c r="Y44" i="31" a="1"/>
  <c r="Y44" i="31" s="1"/>
  <c r="Y49" i="31" a="1"/>
  <c r="Y49" i="31" s="1"/>
  <c r="Y67" i="31" a="1"/>
  <c r="Y67" i="31" s="1"/>
  <c r="Y46" i="31" a="1"/>
  <c r="Y46" i="31" s="1"/>
  <c r="Y53" i="31" a="1"/>
  <c r="Y53" i="31" s="1"/>
  <c r="Y85" i="31" a="1"/>
  <c r="Y85" i="31" s="1"/>
  <c r="Y59" i="31" a="1"/>
  <c r="Y59" i="31" s="1"/>
  <c r="Y61" i="31" a="1"/>
  <c r="Y61" i="31" s="1"/>
  <c r="Y64" i="31" a="1"/>
  <c r="Y64" i="31" s="1"/>
  <c r="Y69" i="31" a="1"/>
  <c r="Y69" i="31" s="1"/>
  <c r="Y76" i="31" a="1"/>
  <c r="Y76" i="31" s="1"/>
  <c r="Y79" i="31" a="1"/>
  <c r="Y79" i="31" s="1"/>
  <c r="Y82" i="31" a="1"/>
  <c r="Y82" i="31" s="1"/>
  <c r="Y87" i="31" a="1"/>
  <c r="Y87" i="31" s="1"/>
  <c r="Y89" i="31" a="1"/>
  <c r="Y89" i="31" s="1"/>
  <c r="Y56" i="31" a="1"/>
  <c r="Y56" i="31" s="1"/>
  <c r="Y57" i="31" a="1"/>
  <c r="Y57" i="31" s="1"/>
  <c r="Y71" i="31" a="1"/>
  <c r="Y71" i="31" s="1"/>
  <c r="Y73" i="31" a="1"/>
  <c r="Y73" i="31" s="1"/>
  <c r="Y99" i="31" a="1"/>
  <c r="Y99" i="31" s="1"/>
  <c r="Y102" i="31" a="1"/>
  <c r="Y102" i="31" s="1"/>
  <c r="Y51" i="31" a="1"/>
  <c r="Y51" i="31" s="1"/>
  <c r="Y63" i="31" a="1"/>
  <c r="Y63" i="31" s="1"/>
  <c r="Y66" i="31" a="1"/>
  <c r="Y66" i="31" s="1"/>
  <c r="Y75" i="31" a="1"/>
  <c r="Y75" i="31" s="1"/>
  <c r="Y78" i="31" a="1"/>
  <c r="Y78" i="31" s="1"/>
  <c r="Z33" i="31" a="1"/>
  <c r="Z33" i="31" s="1"/>
  <c r="Z39" i="31" a="1"/>
  <c r="Z39" i="31" s="1"/>
  <c r="Z41" i="31" a="1"/>
  <c r="Z41" i="31" s="1"/>
  <c r="Z56" i="31" a="1"/>
  <c r="Z56" i="31" s="1"/>
  <c r="Z59" i="31" a="1"/>
  <c r="Z59" i="31" s="1"/>
  <c r="Z35" i="31" a="1"/>
  <c r="Z35" i="31" s="1"/>
  <c r="Z43" i="31" a="1"/>
  <c r="Z43" i="31" s="1"/>
  <c r="Z6" i="31" a="1"/>
  <c r="Z6" i="31" s="1"/>
  <c r="Z48" i="31" a="1"/>
  <c r="Z48" i="31" s="1"/>
  <c r="Z8" i="31" a="1"/>
  <c r="Z8" i="31" s="1"/>
  <c r="Z10" i="31" a="1"/>
  <c r="Z10" i="31" s="1"/>
  <c r="Z12" i="31" a="1"/>
  <c r="Z12" i="31" s="1"/>
  <c r="Z14" i="31" a="1"/>
  <c r="Z14" i="31" s="1"/>
  <c r="Z16" i="31" a="1"/>
  <c r="Z16" i="31" s="1"/>
  <c r="Z18" i="31" a="1"/>
  <c r="Z18" i="31" s="1"/>
  <c r="Z20" i="31" a="1"/>
  <c r="Z20" i="31" s="1"/>
  <c r="Z22" i="31" a="1"/>
  <c r="Z22" i="31" s="1"/>
  <c r="Z24" i="31" a="1"/>
  <c r="Z24" i="31" s="1"/>
  <c r="Z26" i="31" a="1"/>
  <c r="Z26" i="31" s="1"/>
  <c r="Z28" i="31" a="1"/>
  <c r="Z28" i="31" s="1"/>
  <c r="Z30" i="31" a="1"/>
  <c r="Z30" i="31" s="1"/>
  <c r="Z32" i="31" a="1"/>
  <c r="Z32" i="31" s="1"/>
  <c r="Z45" i="31" a="1"/>
  <c r="Z45" i="31" s="1"/>
  <c r="Z50" i="31" a="1"/>
  <c r="Z50" i="31" s="1"/>
  <c r="Z52" i="31" a="1"/>
  <c r="Z52" i="31" s="1"/>
  <c r="Z55" i="31" a="1"/>
  <c r="Z55" i="31" s="1"/>
  <c r="Z34" i="31" a="1"/>
  <c r="Z34" i="31" s="1"/>
  <c r="Z38" i="31" a="1"/>
  <c r="Z38" i="31" s="1"/>
  <c r="Z37" i="31" a="1"/>
  <c r="Z37" i="31" s="1"/>
  <c r="Z7" i="31" a="1"/>
  <c r="Z7" i="31" s="1"/>
  <c r="Z9" i="31" a="1"/>
  <c r="Z9" i="31" s="1"/>
  <c r="Z11" i="31" a="1"/>
  <c r="Z11" i="31" s="1"/>
  <c r="Z13" i="31" a="1"/>
  <c r="Z13" i="31" s="1"/>
  <c r="Z15" i="31" a="1"/>
  <c r="Z15" i="31" s="1"/>
  <c r="Z17" i="31" a="1"/>
  <c r="Z17" i="31" s="1"/>
  <c r="Z19" i="31" a="1"/>
  <c r="Z19" i="31" s="1"/>
  <c r="Z21" i="31" a="1"/>
  <c r="Z21" i="31" s="1"/>
  <c r="Z23" i="31" a="1"/>
  <c r="Z23" i="31" s="1"/>
  <c r="Z25" i="31" a="1"/>
  <c r="Z25" i="31" s="1"/>
  <c r="Z27" i="31" a="1"/>
  <c r="Z27" i="31" s="1"/>
  <c r="Z29" i="31" a="1"/>
  <c r="Z29" i="31" s="1"/>
  <c r="Z31" i="31" a="1"/>
  <c r="Z31" i="31" s="1"/>
  <c r="Z36" i="31" a="1"/>
  <c r="Z36" i="31" s="1"/>
  <c r="Z51" i="31" a="1"/>
  <c r="Z51" i="31" s="1"/>
  <c r="Z63" i="31" a="1"/>
  <c r="Z63" i="31" s="1"/>
  <c r="Z66" i="31" a="1"/>
  <c r="Z66" i="31" s="1"/>
  <c r="Z78" i="31" a="1"/>
  <c r="Z78" i="31" s="1"/>
  <c r="Z91" i="31" a="1"/>
  <c r="Z91" i="31" s="1"/>
  <c r="Z47" i="31" a="1"/>
  <c r="Z47" i="31" s="1"/>
  <c r="Z75" i="31" a="1"/>
  <c r="Z75" i="31" s="1"/>
  <c r="Z81" i="31" a="1"/>
  <c r="Z81" i="31" s="1"/>
  <c r="Z84" i="31" a="1"/>
  <c r="Z84" i="31" s="1"/>
  <c r="Z93" i="31" a="1"/>
  <c r="Z93" i="31" s="1"/>
  <c r="Z96" i="31" a="1"/>
  <c r="Z96" i="31" s="1"/>
  <c r="Z42" i="31" a="1"/>
  <c r="Z42" i="31" s="1"/>
  <c r="Z58" i="31" a="1"/>
  <c r="Z58" i="31" s="1"/>
  <c r="Z60" i="31" a="1"/>
  <c r="Z60" i="31" s="1"/>
  <c r="Z68" i="31" a="1"/>
  <c r="Z68" i="31" s="1"/>
  <c r="Z70" i="31" a="1"/>
  <c r="Z70" i="31" s="1"/>
  <c r="Z86" i="31" a="1"/>
  <c r="Z86" i="31" s="1"/>
  <c r="Z88" i="31" a="1"/>
  <c r="Z88" i="31" s="1"/>
  <c r="Z90" i="31" a="1"/>
  <c r="Z90" i="31" s="1"/>
  <c r="Z62" i="31" a="1"/>
  <c r="Z62" i="31" s="1"/>
  <c r="Z65" i="31" a="1"/>
  <c r="Z65" i="31" s="1"/>
  <c r="Z72" i="31" a="1"/>
  <c r="Z72" i="31" s="1"/>
  <c r="Z74" i="31" a="1"/>
  <c r="Z74" i="31" s="1"/>
  <c r="Z77" i="31" a="1"/>
  <c r="Z77" i="31" s="1"/>
  <c r="Z80" i="31" a="1"/>
  <c r="Z80" i="31" s="1"/>
  <c r="Z40" i="31" a="1"/>
  <c r="Z40" i="31" s="1"/>
  <c r="Z44" i="31" a="1"/>
  <c r="Z44" i="31" s="1"/>
  <c r="Z49" i="31" a="1"/>
  <c r="Z49" i="31" s="1"/>
  <c r="Z67" i="31" a="1"/>
  <c r="Z67" i="31" s="1"/>
  <c r="Z83" i="31" a="1"/>
  <c r="Z83" i="31" s="1"/>
  <c r="Z46" i="31" a="1"/>
  <c r="Z46" i="31" s="1"/>
  <c r="Z53" i="31" a="1"/>
  <c r="Z53" i="31" s="1"/>
  <c r="Z54" i="31" a="1"/>
  <c r="Z54" i="31" s="1"/>
  <c r="Z85" i="31" a="1"/>
  <c r="Z85" i="31" s="1"/>
  <c r="Z92" i="31" a="1"/>
  <c r="Z92" i="31" s="1"/>
  <c r="Z94" i="31" a="1"/>
  <c r="Z94" i="31" s="1"/>
  <c r="Z97" i="31" a="1"/>
  <c r="Z97" i="31" s="1"/>
  <c r="Z61" i="31" a="1"/>
  <c r="Z61" i="31" s="1"/>
  <c r="Z64" i="31" a="1"/>
  <c r="Z64" i="31" s="1"/>
  <c r="Z69" i="31" a="1"/>
  <c r="Z69" i="31" s="1"/>
  <c r="Z76" i="31" a="1"/>
  <c r="Z76" i="31" s="1"/>
  <c r="Z79" i="31" a="1"/>
  <c r="Z79" i="31" s="1"/>
  <c r="Z82" i="31" a="1"/>
  <c r="Z82" i="31" s="1"/>
  <c r="Z87" i="31" a="1"/>
  <c r="Z87" i="31" s="1"/>
  <c r="Z89" i="31" a="1"/>
  <c r="Z89" i="31" s="1"/>
  <c r="Z57" i="31" a="1"/>
  <c r="Z57" i="31" s="1"/>
  <c r="Z71" i="31" a="1"/>
  <c r="Z71" i="31" s="1"/>
  <c r="Z73" i="31" a="1"/>
  <c r="Z73" i="31" s="1"/>
  <c r="AA7" i="31" a="1"/>
  <c r="AA7" i="31" s="1"/>
  <c r="AA9" i="31" a="1"/>
  <c r="AA9" i="31" s="1"/>
  <c r="AA11" i="31" a="1"/>
  <c r="AA11" i="31" s="1"/>
  <c r="AA13" i="31" a="1"/>
  <c r="AA13" i="31" s="1"/>
  <c r="AA15" i="31" a="1"/>
  <c r="AA15" i="31" s="1"/>
  <c r="AA17" i="31" a="1"/>
  <c r="AA17" i="31" s="1"/>
  <c r="AA19" i="31" a="1"/>
  <c r="AA19" i="31" s="1"/>
  <c r="AA21" i="31" a="1"/>
  <c r="AA21" i="31" s="1"/>
  <c r="AA23" i="31" a="1"/>
  <c r="AA23" i="31" s="1"/>
  <c r="AA25" i="31" a="1"/>
  <c r="AA25" i="31" s="1"/>
  <c r="AA27" i="31" a="1"/>
  <c r="AA27" i="31" s="1"/>
  <c r="AA29" i="31" a="1"/>
  <c r="AA29" i="31" s="1"/>
  <c r="AA31" i="31" a="1"/>
  <c r="AA31" i="31" s="1"/>
  <c r="AA44" i="31" a="1"/>
  <c r="AA44" i="31" s="1"/>
  <c r="AA46" i="31" a="1"/>
  <c r="AA46" i="31" s="1"/>
  <c r="AA49" i="31" a="1"/>
  <c r="AA49" i="31" s="1"/>
  <c r="AA51" i="31" a="1"/>
  <c r="AA51" i="31" s="1"/>
  <c r="AA53" i="31" a="1"/>
  <c r="AA53" i="31" s="1"/>
  <c r="AA33" i="31" a="1"/>
  <c r="AA33" i="31" s="1"/>
  <c r="AA36" i="31" a="1"/>
  <c r="AA36" i="31" s="1"/>
  <c r="AA39" i="31" a="1"/>
  <c r="AA39" i="31" s="1"/>
  <c r="AA41" i="31" a="1"/>
  <c r="AA41" i="31" s="1"/>
  <c r="AA35" i="31" a="1"/>
  <c r="AA35" i="31" s="1"/>
  <c r="AA43" i="31" a="1"/>
  <c r="AA43" i="31" s="1"/>
  <c r="AA6" i="31" a="1"/>
  <c r="AA6" i="31" s="1"/>
  <c r="AA8" i="31" a="1"/>
  <c r="AA8" i="31" s="1"/>
  <c r="AA10" i="31" a="1"/>
  <c r="AA10" i="31" s="1"/>
  <c r="AA12" i="31" a="1"/>
  <c r="AA12" i="31" s="1"/>
  <c r="AA14" i="31" a="1"/>
  <c r="AA14" i="31" s="1"/>
  <c r="AA16" i="31" a="1"/>
  <c r="AA16" i="31" s="1"/>
  <c r="AA18" i="31" a="1"/>
  <c r="AA18" i="31" s="1"/>
  <c r="AA20" i="31" a="1"/>
  <c r="AA20" i="31" s="1"/>
  <c r="AA22" i="31" a="1"/>
  <c r="AA22" i="31" s="1"/>
  <c r="AA24" i="31" a="1"/>
  <c r="AA24" i="31" s="1"/>
  <c r="AA26" i="31" a="1"/>
  <c r="AA26" i="31" s="1"/>
  <c r="AA28" i="31" a="1"/>
  <c r="AA28" i="31" s="1"/>
  <c r="AA30" i="31" a="1"/>
  <c r="AA30" i="31" s="1"/>
  <c r="AA32" i="31" a="1"/>
  <c r="AA32" i="31" s="1"/>
  <c r="AA34" i="31" a="1"/>
  <c r="AA34" i="31" s="1"/>
  <c r="AA38" i="31" a="1"/>
  <c r="AA38" i="31" s="1"/>
  <c r="AA40" i="31" a="1"/>
  <c r="AA40" i="31" s="1"/>
  <c r="AA42" i="31" a="1"/>
  <c r="AA42" i="31" s="1"/>
  <c r="AA47" i="31" a="1"/>
  <c r="AA47" i="31" s="1"/>
  <c r="AA37" i="31" a="1"/>
  <c r="AA37" i="31" s="1"/>
  <c r="AA45" i="31" a="1"/>
  <c r="AA45" i="31" s="1"/>
  <c r="AA57" i="31" a="1"/>
  <c r="AA57" i="31" s="1"/>
  <c r="AA71" i="31" a="1"/>
  <c r="AA71" i="31" s="1"/>
  <c r="AA73" i="31" a="1"/>
  <c r="AA73" i="31" s="1"/>
  <c r="AA50" i="31" a="1"/>
  <c r="AA50" i="31" s="1"/>
  <c r="AA63" i="31" a="1"/>
  <c r="AA63" i="31" s="1"/>
  <c r="AA66" i="31" a="1"/>
  <c r="AA66" i="31" s="1"/>
  <c r="AA78" i="31" a="1"/>
  <c r="AA78" i="31" s="1"/>
  <c r="AA91" i="31" a="1"/>
  <c r="AA91" i="31" s="1"/>
  <c r="AA75" i="31" a="1"/>
  <c r="AA75" i="31" s="1"/>
  <c r="AA81" i="31" a="1"/>
  <c r="AA81" i="31" s="1"/>
  <c r="AA84" i="31" a="1"/>
  <c r="AA84" i="31" s="1"/>
  <c r="AA58" i="31" a="1"/>
  <c r="AA58" i="31" s="1"/>
  <c r="AA60" i="31" a="1"/>
  <c r="AA60" i="31" s="1"/>
  <c r="AA68" i="31" a="1"/>
  <c r="AA68" i="31" s="1"/>
  <c r="AA70" i="31" a="1"/>
  <c r="AA70" i="31" s="1"/>
  <c r="AA62" i="31" a="1"/>
  <c r="AA62" i="31" s="1"/>
  <c r="AA65" i="31" a="1"/>
  <c r="AA65" i="31" s="1"/>
  <c r="AA72" i="31" a="1"/>
  <c r="AA72" i="31" s="1"/>
  <c r="AA74" i="31" a="1"/>
  <c r="AA74" i="31" s="1"/>
  <c r="AA77" i="31" a="1"/>
  <c r="AA77" i="31" s="1"/>
  <c r="AA80" i="31" a="1"/>
  <c r="AA80" i="31" s="1"/>
  <c r="AA52" i="31" a="1"/>
  <c r="AA52" i="31" s="1"/>
  <c r="AA67" i="31" a="1"/>
  <c r="AA67" i="31" s="1"/>
  <c r="AA83" i="31" a="1"/>
  <c r="AA83" i="31" s="1"/>
  <c r="AA100" i="31" a="1"/>
  <c r="AA100" i="31" s="1"/>
  <c r="AA54" i="31" a="1"/>
  <c r="AA54" i="31" s="1"/>
  <c r="AA55" i="31" a="1"/>
  <c r="AA55" i="31" s="1"/>
  <c r="AA85" i="31" a="1"/>
  <c r="AA85" i="31" s="1"/>
  <c r="AA92" i="31" a="1"/>
  <c r="AA92" i="31" s="1"/>
  <c r="AA94" i="31" a="1"/>
  <c r="AA94" i="31" s="1"/>
  <c r="AA48" i="31" a="1"/>
  <c r="AA48" i="31" s="1"/>
  <c r="AA56" i="31" a="1"/>
  <c r="AA56" i="31" s="1"/>
  <c r="AA59" i="31" a="1"/>
  <c r="AA59" i="31" s="1"/>
  <c r="AA61" i="31" a="1"/>
  <c r="AA61" i="31" s="1"/>
  <c r="AA64" i="31" a="1"/>
  <c r="AA64" i="31" s="1"/>
  <c r="AA69" i="31" a="1"/>
  <c r="AA69" i="31" s="1"/>
  <c r="AA76" i="31" a="1"/>
  <c r="AA76" i="31" s="1"/>
  <c r="AA79" i="31" a="1"/>
  <c r="AA79" i="31" s="1"/>
  <c r="AA82" i="31" a="1"/>
  <c r="AA82" i="31" s="1"/>
  <c r="AA87" i="31" a="1"/>
  <c r="AA87" i="31" s="1"/>
  <c r="AA89" i="31" a="1"/>
  <c r="AA89" i="31" s="1"/>
  <c r="T165" i="30" l="1"/>
  <c r="BH16" i="31" l="1"/>
  <c r="BH14" i="31"/>
  <c r="BH10" i="31"/>
  <c r="BH6" i="31"/>
  <c r="BH17" i="31"/>
  <c r="BH5" i="31"/>
  <c r="BH12" i="31"/>
  <c r="T58" i="30"/>
  <c r="BH9" i="31" l="1"/>
  <c r="BH11" i="31" s="1"/>
  <c r="BH13" i="31"/>
  <c r="BH15" i="31" s="1"/>
  <c r="BH4" i="31"/>
  <c r="BH7" i="31" s="1"/>
  <c r="BH18" i="31"/>
  <c r="BH19" i="31" s="1"/>
  <c r="T113" i="30"/>
  <c r="M139" i="30"/>
  <c r="N139" i="30"/>
  <c r="O139" i="30"/>
  <c r="P139" i="30"/>
  <c r="R139" i="30"/>
  <c r="S139" i="30"/>
  <c r="T139" i="30"/>
  <c r="BH20" i="31" l="1"/>
  <c r="T163" i="30"/>
  <c r="U163" i="30"/>
  <c r="U160" i="30" l="1"/>
  <c r="T160" i="30"/>
  <c r="T157" i="30" l="1"/>
  <c r="T156" i="30"/>
  <c r="T144" i="30"/>
  <c r="T141" i="30"/>
  <c r="T119" i="30"/>
  <c r="T118" i="30"/>
  <c r="T117" i="30"/>
  <c r="T116" i="30"/>
  <c r="S149" i="30"/>
  <c r="V103" i="30" l="1"/>
  <c r="U102" i="30"/>
  <c r="T146" i="30" l="1"/>
  <c r="S144" i="30"/>
  <c r="R142" i="30"/>
  <c r="S119" i="30"/>
  <c r="R119" i="30"/>
  <c r="S118" i="30"/>
  <c r="R118" i="30"/>
  <c r="S117" i="30"/>
  <c r="R117" i="30"/>
  <c r="S116" i="30"/>
  <c r="R116" i="30"/>
  <c r="C93" i="28" l="1"/>
  <c r="S137" i="30" l="1"/>
  <c r="Q119" i="30"/>
  <c r="P119" i="30"/>
  <c r="O119" i="30"/>
  <c r="N119" i="30"/>
  <c r="M119" i="30"/>
  <c r="Q118" i="30"/>
  <c r="P118" i="30"/>
  <c r="O118" i="30"/>
  <c r="N118" i="30"/>
  <c r="M118" i="30"/>
  <c r="Q117" i="30"/>
  <c r="P117" i="30"/>
  <c r="O117" i="30"/>
  <c r="N117" i="30"/>
  <c r="M117" i="30"/>
  <c r="Q116" i="30"/>
  <c r="P116" i="30"/>
  <c r="O116" i="30"/>
  <c r="N116" i="30"/>
  <c r="M116" i="30"/>
  <c r="M121" i="30"/>
  <c r="O130" i="30"/>
  <c r="N130" i="30"/>
  <c r="M130" i="30"/>
  <c r="O129" i="30"/>
  <c r="N129" i="30"/>
  <c r="M129" i="30"/>
  <c r="Q131" i="30"/>
  <c r="P131" i="30"/>
  <c r="O131" i="30"/>
  <c r="P132" i="30"/>
  <c r="O132" i="30"/>
  <c r="N132" i="30"/>
  <c r="M132" i="30"/>
  <c r="M133" i="30"/>
  <c r="M134" i="30"/>
  <c r="O135" i="30"/>
  <c r="N135" i="30"/>
  <c r="M135" i="30"/>
  <c r="N136" i="30"/>
  <c r="M136" i="30"/>
  <c r="R137" i="30"/>
  <c r="Q137" i="30"/>
  <c r="P137" i="30"/>
  <c r="O137" i="30"/>
  <c r="P108" i="30"/>
  <c r="O108" i="30"/>
  <c r="T101" i="30"/>
  <c r="S100" i="30"/>
  <c r="R99" i="30"/>
  <c r="Q98" i="30"/>
  <c r="P97" i="30"/>
  <c r="O96" i="30"/>
  <c r="N95" i="30"/>
  <c r="M94" i="30"/>
  <c r="S91" i="30"/>
  <c r="R90" i="30"/>
  <c r="R92" i="30"/>
  <c r="O88" i="30"/>
  <c r="O8" i="31" a="1"/>
  <c r="O8" i="31" s="1"/>
  <c r="N72" i="30"/>
  <c r="Q33" i="30"/>
  <c r="P33" i="30"/>
  <c r="O33" i="30"/>
  <c r="R30" i="30"/>
  <c r="P29" i="30"/>
  <c r="O29" i="30"/>
  <c r="N28" i="30"/>
  <c r="N27" i="30"/>
  <c r="N26" i="30"/>
  <c r="R213" i="30"/>
  <c r="R24" i="30"/>
  <c r="P25" i="30"/>
  <c r="P22" i="30"/>
  <c r="O22" i="30"/>
  <c r="N22" i="30"/>
  <c r="M22" i="30"/>
  <c r="N10" i="30"/>
  <c r="N9" i="30"/>
  <c r="N8" i="30"/>
  <c r="P8" i="30"/>
  <c r="O8" i="30"/>
  <c r="P7" i="30"/>
  <c r="O7" i="30"/>
  <c r="N23" i="31" a="1"/>
  <c r="N23" i="31" s="1"/>
  <c r="P71" i="30"/>
  <c r="N70" i="30"/>
  <c r="O68" i="30"/>
  <c r="N68" i="30"/>
  <c r="N67" i="30"/>
  <c r="M67" i="30"/>
  <c r="P66" i="30"/>
  <c r="V65" i="30"/>
  <c r="S69" i="30"/>
  <c r="R69" i="30"/>
  <c r="K2" i="30"/>
  <c r="N7" i="31" a="1"/>
  <c r="N7" i="31" s="1"/>
  <c r="N8" i="31" l="1" a="1"/>
  <c r="N8" i="31" s="1"/>
  <c r="N10" i="31" a="1"/>
  <c r="N10" i="31" s="1"/>
  <c r="N12" i="31" a="1"/>
  <c r="N12" i="31" s="1"/>
  <c r="N22" i="31" a="1"/>
  <c r="N22" i="31" s="1"/>
  <c r="N14" i="31" a="1"/>
  <c r="N14" i="31" s="1"/>
  <c r="O6" i="31" a="1"/>
  <c r="O6" i="31" s="1"/>
  <c r="N6" i="31" a="1"/>
  <c r="N6" i="31" s="1"/>
  <c r="N21" i="31" a="1"/>
  <c r="N21" i="31" s="1"/>
  <c r="N17" i="31" a="1"/>
  <c r="N17" i="31" s="1"/>
  <c r="N9" i="31" a="1"/>
  <c r="N9" i="31" s="1"/>
  <c r="O14" i="31" a="1"/>
  <c r="O14" i="31" s="1"/>
  <c r="N26" i="31" a="1"/>
  <c r="N26" i="31" s="1"/>
  <c r="O10" i="31" a="1"/>
  <c r="O10" i="31" s="1"/>
  <c r="O31" i="31" a="1"/>
  <c r="O31" i="31" s="1"/>
  <c r="O26" i="31" a="1"/>
  <c r="O26" i="31" s="1"/>
  <c r="O7" i="31" a="1"/>
  <c r="O7" i="31" s="1"/>
  <c r="O18" i="31" a="1"/>
  <c r="O18" i="31" s="1"/>
  <c r="O20" i="31" a="1"/>
  <c r="O20" i="31" s="1"/>
  <c r="O22" i="31" a="1"/>
  <c r="O22" i="31" s="1"/>
  <c r="O35" i="31" a="1"/>
  <c r="O35" i="31" s="1"/>
  <c r="O52" i="31" a="1"/>
  <c r="O52" i="31" s="1"/>
  <c r="O33" i="31" a="1"/>
  <c r="O33" i="31" s="1"/>
  <c r="O16" i="31" a="1"/>
  <c r="O16" i="31" s="1"/>
  <c r="O32" i="31" a="1"/>
  <c r="O32" i="31" s="1"/>
  <c r="O12" i="31" a="1"/>
  <c r="O12" i="31" s="1"/>
  <c r="O21" i="31" a="1"/>
  <c r="O21" i="31" s="1"/>
  <c r="O27" i="31" a="1"/>
  <c r="O27" i="31" s="1"/>
  <c r="O17" i="31" a="1"/>
  <c r="O17" i="31" s="1"/>
  <c r="O19" i="31" a="1"/>
  <c r="O19" i="31" s="1"/>
  <c r="O23" i="31" a="1"/>
  <c r="O23" i="31" s="1"/>
  <c r="O15" i="31" a="1"/>
  <c r="O15" i="31" s="1"/>
  <c r="O24" i="31" a="1"/>
  <c r="O24" i="31" s="1"/>
  <c r="O9" i="31" a="1"/>
  <c r="O9" i="31" s="1"/>
  <c r="O13" i="31" a="1"/>
  <c r="O13" i="31" s="1"/>
  <c r="O28" i="31" a="1"/>
  <c r="O28" i="31" s="1"/>
  <c r="O29" i="31" a="1"/>
  <c r="O29" i="31" s="1"/>
  <c r="O11" i="31" a="1"/>
  <c r="O11" i="31" s="1"/>
  <c r="O25" i="31" a="1"/>
  <c r="O25" i="31" s="1"/>
  <c r="O34" i="31" a="1"/>
  <c r="O34" i="31" s="1"/>
  <c r="N32" i="31" a="1"/>
  <c r="N32" i="31" s="1"/>
  <c r="O53" i="31" a="1"/>
  <c r="O53" i="31" s="1"/>
  <c r="O54" i="31" a="1"/>
  <c r="O54" i="31" s="1"/>
  <c r="O30" i="31" a="1"/>
  <c r="O30" i="31" s="1"/>
  <c r="O40" i="31" a="1"/>
  <c r="O40" i="31" s="1"/>
  <c r="O41" i="31" a="1"/>
  <c r="O41" i="31" s="1"/>
  <c r="O36" i="31" a="1"/>
  <c r="O36" i="31" s="1"/>
  <c r="N39" i="31" a="1"/>
  <c r="N39" i="31" s="1"/>
  <c r="O38" i="31" a="1"/>
  <c r="O38" i="31" s="1"/>
  <c r="N29" i="31" a="1"/>
  <c r="N29" i="31" s="1"/>
  <c r="N34" i="31" a="1"/>
  <c r="N34" i="31" s="1"/>
  <c r="N13" i="31" a="1"/>
  <c r="N13" i="31" s="1"/>
  <c r="N20" i="31" a="1"/>
  <c r="N20" i="31" s="1"/>
  <c r="N31" i="31" a="1"/>
  <c r="N31" i="31" s="1"/>
  <c r="N51" i="31" a="1"/>
  <c r="N51" i="31" s="1"/>
  <c r="N53" i="31" a="1"/>
  <c r="N53" i="31" s="1"/>
  <c r="N36" i="31" a="1"/>
  <c r="N36" i="31" s="1"/>
  <c r="N18" i="31" a="1"/>
  <c r="N18" i="31" s="1"/>
  <c r="N19" i="31" a="1"/>
  <c r="N19" i="31" s="1"/>
  <c r="N25" i="31" a="1"/>
  <c r="N25" i="31" s="1"/>
  <c r="N28" i="31" a="1"/>
  <c r="N28" i="31" s="1"/>
  <c r="N55" i="31" a="1"/>
  <c r="N55" i="31" s="1"/>
  <c r="N11" i="31" a="1"/>
  <c r="N11" i="31" s="1"/>
  <c r="N24" i="31" a="1"/>
  <c r="N24" i="31" s="1"/>
  <c r="N30" i="31" a="1"/>
  <c r="N30" i="31" s="1"/>
  <c r="N33" i="31" a="1"/>
  <c r="N33" i="31" s="1"/>
  <c r="N37" i="31" a="1"/>
  <c r="N37" i="31" s="1"/>
  <c r="N16" i="31" a="1"/>
  <c r="N16" i="31" s="1"/>
  <c r="N27" i="31" a="1"/>
  <c r="N27" i="31" s="1"/>
  <c r="N52" i="31" a="1"/>
  <c r="N52" i="31" s="1"/>
  <c r="N41" i="31" a="1"/>
  <c r="N41" i="31" s="1"/>
  <c r="N15" i="31" a="1"/>
  <c r="N15" i="31" s="1"/>
  <c r="N35" i="31" a="1"/>
  <c r="N35" i="31" s="1"/>
  <c r="N57" i="31" a="1"/>
  <c r="N57" i="31" s="1"/>
  <c r="N54" i="31" a="1"/>
  <c r="N54" i="31" s="1"/>
  <c r="O57" i="31" a="1"/>
  <c r="O57" i="31" s="1"/>
  <c r="O73" i="31" a="1"/>
  <c r="O73" i="31" s="1"/>
  <c r="N71" i="31" a="1"/>
  <c r="N71" i="31" s="1"/>
  <c r="O58" i="31" a="1"/>
  <c r="O58" i="31" s="1"/>
  <c r="O62" i="31" a="1"/>
  <c r="O62" i="31" s="1"/>
  <c r="N60" i="31" a="1"/>
  <c r="N60" i="31" s="1"/>
  <c r="O51" i="31" a="1"/>
  <c r="O51" i="31" s="1"/>
  <c r="N40" i="31" a="1"/>
  <c r="N40" i="31" s="1"/>
  <c r="N38" i="31" a="1"/>
  <c r="N38" i="31" s="1"/>
  <c r="O56" i="31" a="1"/>
  <c r="O56" i="31" s="1"/>
  <c r="N58" i="31" a="1"/>
  <c r="N58" i="31" s="1"/>
  <c r="O71" i="31" a="1"/>
  <c r="O71" i="31" s="1"/>
  <c r="O39" i="31" a="1"/>
  <c r="O39" i="31" s="1"/>
  <c r="O37" i="31" a="1"/>
  <c r="O37" i="31" s="1"/>
  <c r="O55" i="31" a="1"/>
  <c r="O55" i="31" s="1"/>
  <c r="N59" i="31" a="1"/>
  <c r="N59" i="31" s="1"/>
  <c r="O61" i="31" a="1"/>
  <c r="O61" i="31" s="1"/>
  <c r="O59" i="31" a="1"/>
  <c r="O59" i="31" s="1"/>
  <c r="O60" i="31" a="1"/>
  <c r="O60" i="31" s="1"/>
  <c r="N67" i="31" a="1"/>
  <c r="N67" i="31" s="1"/>
  <c r="O63" i="31" a="1"/>
  <c r="O63" i="31" s="1"/>
  <c r="O68" i="31" a="1"/>
  <c r="O68" i="31" s="1"/>
  <c r="N65" i="31" a="1"/>
  <c r="N65" i="31" s="1"/>
  <c r="N70" i="31" a="1"/>
  <c r="N70" i="31" s="1"/>
  <c r="O67" i="31" a="1"/>
  <c r="O67" i="31" s="1"/>
  <c r="N79" i="31" a="1"/>
  <c r="N79" i="31" s="1"/>
  <c r="N64" i="31" a="1"/>
  <c r="N64" i="31" s="1"/>
  <c r="N69" i="31" a="1"/>
  <c r="N69" i="31" s="1"/>
  <c r="O70" i="31" a="1"/>
  <c r="O70" i="31" s="1"/>
  <c r="N75" i="31" a="1"/>
  <c r="N75" i="31" s="1"/>
  <c r="O64" i="31" a="1"/>
  <c r="O64" i="31" s="1"/>
  <c r="N66" i="31" a="1"/>
  <c r="N66" i="31" s="1"/>
  <c r="O69" i="31" a="1"/>
  <c r="O69" i="31" s="1"/>
  <c r="N72" i="31" a="1"/>
  <c r="N72" i="31" s="1"/>
  <c r="O75" i="31" a="1"/>
  <c r="O75" i="31" s="1"/>
  <c r="O80" i="31" a="1"/>
  <c r="O80" i="31" s="1"/>
  <c r="N56" i="31" a="1"/>
  <c r="N56" i="31" s="1"/>
  <c r="N61" i="31" a="1"/>
  <c r="N61" i="31" s="1"/>
  <c r="N63" i="31" a="1"/>
  <c r="N63" i="31" s="1"/>
  <c r="O66" i="31" a="1"/>
  <c r="O66" i="31" s="1"/>
  <c r="O72" i="31" a="1"/>
  <c r="O72" i="31" s="1"/>
  <c r="N77" i="31" a="1"/>
  <c r="N77" i="31" s="1"/>
  <c r="N68" i="31" a="1"/>
  <c r="N68" i="31" s="1"/>
  <c r="O77" i="31" a="1"/>
  <c r="O77" i="31" s="1"/>
  <c r="N83" i="31" a="1"/>
  <c r="N83" i="31" s="1"/>
  <c r="N84" i="31" a="1"/>
  <c r="N84" i="31" s="1"/>
  <c r="N74" i="31" a="1"/>
  <c r="N74" i="31" s="1"/>
  <c r="N87" i="31" a="1"/>
  <c r="N87" i="31" s="1"/>
  <c r="O74" i="31" a="1"/>
  <c r="O74" i="31" s="1"/>
  <c r="O76" i="31" a="1"/>
  <c r="O76" i="31" s="1"/>
  <c r="O78" i="31" a="1"/>
  <c r="O78" i="31" s="1"/>
  <c r="N62" i="31" a="1"/>
  <c r="N62" i="31" s="1"/>
  <c r="O65" i="31" a="1"/>
  <c r="O65" i="31" s="1"/>
  <c r="N73" i="31" a="1"/>
  <c r="N73" i="31" s="1"/>
  <c r="N88" i="31" a="1"/>
  <c r="N88" i="31" s="1"/>
  <c r="O81" i="31" a="1"/>
  <c r="O81" i="31" s="1"/>
  <c r="O88" i="31" a="1"/>
  <c r="O88" i="31" s="1"/>
  <c r="N91" i="31" a="1"/>
  <c r="N91" i="31" s="1"/>
  <c r="O94" i="31" a="1"/>
  <c r="O94" i="31" s="1"/>
  <c r="O103" i="31" a="1"/>
  <c r="O103" i="31" s="1"/>
  <c r="N80" i="31" a="1"/>
  <c r="N80" i="31" s="1"/>
  <c r="O84" i="31" a="1"/>
  <c r="O84" i="31" s="1"/>
  <c r="O89" i="31" a="1"/>
  <c r="O89" i="31" s="1"/>
  <c r="O90" i="31" a="1"/>
  <c r="O90" i="31" s="1"/>
  <c r="O91" i="31" a="1"/>
  <c r="O91" i="31" s="1"/>
  <c r="N76" i="31" a="1"/>
  <c r="N76" i="31" s="1"/>
  <c r="O79" i="31" a="1"/>
  <c r="O79" i="31" s="1"/>
  <c r="O83" i="31" a="1"/>
  <c r="O83" i="31" s="1"/>
  <c r="O87" i="31" a="1"/>
  <c r="O87" i="31" s="1"/>
  <c r="N82" i="31" a="1"/>
  <c r="N82" i="31" s="1"/>
  <c r="N85" i="31" a="1"/>
  <c r="N85" i="31" s="1"/>
  <c r="O82" i="31" a="1"/>
  <c r="O82" i="31" s="1"/>
  <c r="O85" i="31" a="1"/>
  <c r="O85" i="31" s="1"/>
  <c r="N78" i="31" a="1"/>
  <c r="N78" i="31" s="1"/>
  <c r="N81" i="31" a="1"/>
  <c r="N81" i="31" s="1"/>
  <c r="N86" i="31" a="1"/>
  <c r="N86" i="31" s="1"/>
  <c r="O101" i="31" a="1"/>
  <c r="O101" i="31" s="1"/>
  <c r="N92" i="31" a="1"/>
  <c r="N92" i="31" s="1"/>
  <c r="O93" i="31" a="1"/>
  <c r="O93" i="31" s="1"/>
  <c r="O97" i="31" a="1"/>
  <c r="O97" i="31" s="1"/>
  <c r="N101" i="31" a="1"/>
  <c r="N101" i="31" s="1"/>
  <c r="O86" i="31" a="1"/>
  <c r="O86" i="31" s="1"/>
  <c r="N94" i="31" a="1"/>
  <c r="N94" i="31" s="1"/>
  <c r="N105" i="31" a="1"/>
  <c r="N105" i="31" s="1"/>
  <c r="O106" i="31" a="1"/>
  <c r="O106" i="31" s="1"/>
  <c r="N110" i="31" a="1"/>
  <c r="N110" i="31" s="1"/>
  <c r="N103" i="31" a="1"/>
  <c r="N103" i="31" s="1"/>
  <c r="O110" i="31" a="1"/>
  <c r="O110" i="31" s="1"/>
  <c r="N108" i="31" a="1"/>
  <c r="N108" i="31" s="1"/>
  <c r="N95" i="31" a="1"/>
  <c r="N95" i="31" s="1"/>
  <c r="O99" i="31" a="1"/>
  <c r="O99" i="31" s="1"/>
  <c r="N96" i="31" a="1"/>
  <c r="N96" i="31" s="1"/>
  <c r="N98" i="31" a="1"/>
  <c r="N98" i="31" s="1"/>
  <c r="O105" i="31" a="1"/>
  <c r="O105" i="31" s="1"/>
  <c r="N107" i="31" a="1"/>
  <c r="N107" i="31" s="1"/>
  <c r="O108" i="31" a="1"/>
  <c r="O108" i="31" s="1"/>
  <c r="N111" i="31" a="1"/>
  <c r="N111" i="31" s="1"/>
  <c r="O49" i="31" a="1"/>
  <c r="O49" i="31" s="1"/>
  <c r="N90" i="31" a="1"/>
  <c r="N90" i="31" s="1"/>
  <c r="N93" i="31" a="1"/>
  <c r="N93" i="31" s="1"/>
  <c r="O96" i="31" a="1"/>
  <c r="O96" i="31" s="1"/>
  <c r="O98" i="31" a="1"/>
  <c r="O98" i="31" s="1"/>
  <c r="N100" i="31" a="1"/>
  <c r="N100" i="31" s="1"/>
  <c r="O107" i="31" a="1"/>
  <c r="O107" i="31" s="1"/>
  <c r="N112" i="31" a="1"/>
  <c r="N112" i="31" s="1"/>
  <c r="O100" i="31" a="1"/>
  <c r="O100" i="31" s="1"/>
  <c r="N102" i="31" a="1"/>
  <c r="N102" i="31" s="1"/>
  <c r="O102" i="31" a="1"/>
  <c r="O102" i="31" s="1"/>
  <c r="N104" i="31" a="1"/>
  <c r="N104" i="31" s="1"/>
  <c r="N106" i="31" a="1"/>
  <c r="N106" i="31" s="1"/>
  <c r="O109" i="31" a="1"/>
  <c r="O109" i="31" s="1"/>
  <c r="N89" i="31" a="1"/>
  <c r="N89" i="31" s="1"/>
  <c r="O92" i="31" a="1"/>
  <c r="O92" i="31" s="1"/>
  <c r="O95" i="31" a="1"/>
  <c r="O95" i="31" s="1"/>
  <c r="N97" i="31" a="1"/>
  <c r="N97" i="31" s="1"/>
  <c r="N99" i="31" a="1"/>
  <c r="N99" i="31" s="1"/>
  <c r="O104" i="31" a="1"/>
  <c r="O104" i="31" s="1"/>
  <c r="N115" i="31" a="1"/>
  <c r="N115" i="31" s="1"/>
  <c r="O112" i="31" a="1"/>
  <c r="O112" i="31" s="1"/>
  <c r="N109" i="31" a="1"/>
  <c r="N109" i="31" s="1"/>
  <c r="O111" i="31" a="1"/>
  <c r="O111" i="31" s="1"/>
  <c r="N113" i="31" a="1"/>
  <c r="N113" i="31" s="1"/>
  <c r="N49" i="31" a="1"/>
  <c r="N49" i="31" s="1"/>
  <c r="N116" i="31" a="1"/>
  <c r="N116" i="31" s="1"/>
  <c r="O114" i="31" a="1"/>
  <c r="O114" i="31" s="1"/>
  <c r="O116" i="31" a="1"/>
  <c r="O116" i="31" s="1"/>
  <c r="O118" i="31" a="1"/>
  <c r="O118" i="31" s="1"/>
  <c r="N130" i="31" a="1"/>
  <c r="N130" i="31" s="1"/>
  <c r="O127" i="31" a="1"/>
  <c r="O127" i="31" s="1"/>
  <c r="N124" i="31" a="1"/>
  <c r="N124" i="31" s="1"/>
  <c r="O45" i="31" a="1"/>
  <c r="O45" i="31" s="1"/>
  <c r="O43" i="31" a="1"/>
  <c r="O43" i="31" s="1"/>
  <c r="N119" i="31" a="1"/>
  <c r="N119" i="31" s="1"/>
  <c r="N121" i="31" a="1"/>
  <c r="N121" i="31" s="1"/>
  <c r="O124" i="31" a="1"/>
  <c r="O124" i="31" s="1"/>
  <c r="O130" i="31" a="1"/>
  <c r="O130" i="31" s="1"/>
  <c r="N46" i="31" a="1"/>
  <c r="N46" i="31" s="1"/>
  <c r="N114" i="31" a="1"/>
  <c r="N114" i="31" s="1"/>
  <c r="O115" i="31" a="1"/>
  <c r="O115" i="31" s="1"/>
  <c r="N117" i="31" a="1"/>
  <c r="N117" i="31" s="1"/>
  <c r="O119" i="31" a="1"/>
  <c r="O119" i="31" s="1"/>
  <c r="O121" i="31" a="1"/>
  <c r="O121" i="31" s="1"/>
  <c r="N125" i="31" a="1"/>
  <c r="N125" i="31" s="1"/>
  <c r="N128" i="31" a="1"/>
  <c r="N128" i="31" s="1"/>
  <c r="O46" i="31" a="1"/>
  <c r="O46" i="31" s="1"/>
  <c r="N50" i="31" a="1"/>
  <c r="N50" i="31" s="1"/>
  <c r="O117" i="31" a="1"/>
  <c r="O117" i="31" s="1"/>
  <c r="N122" i="31" a="1"/>
  <c r="N122" i="31" s="1"/>
  <c r="O125" i="31" a="1"/>
  <c r="O125" i="31" s="1"/>
  <c r="O128" i="31" a="1"/>
  <c r="O128" i="31" s="1"/>
  <c r="N131" i="31" a="1"/>
  <c r="N131" i="31" s="1"/>
  <c r="N44" i="31" a="1"/>
  <c r="N44" i="31" s="1"/>
  <c r="N47" i="31" a="1"/>
  <c r="N47" i="31" s="1"/>
  <c r="O122" i="31" a="1"/>
  <c r="O122" i="31" s="1"/>
  <c r="N129" i="31" a="1"/>
  <c r="N129" i="31" s="1"/>
  <c r="O131" i="31" a="1"/>
  <c r="O131" i="31" s="1"/>
  <c r="O44" i="31" a="1"/>
  <c r="O44" i="31" s="1"/>
  <c r="O47" i="31" a="1"/>
  <c r="O47" i="31" s="1"/>
  <c r="O113" i="31" a="1"/>
  <c r="O113" i="31" s="1"/>
  <c r="N120" i="31" a="1"/>
  <c r="N120" i="31" s="1"/>
  <c r="N123" i="31" a="1"/>
  <c r="N123" i="31" s="1"/>
  <c r="N126" i="31" a="1"/>
  <c r="N126" i="31" s="1"/>
  <c r="O129" i="31" a="1"/>
  <c r="O129" i="31" s="1"/>
  <c r="N42" i="31" a="1"/>
  <c r="N42" i="31" s="1"/>
  <c r="N48" i="31" a="1"/>
  <c r="N48" i="31" s="1"/>
  <c r="N118" i="31" a="1"/>
  <c r="N118" i="31" s="1"/>
  <c r="O120" i="31" a="1"/>
  <c r="O120" i="31" s="1"/>
  <c r="O123" i="31" a="1"/>
  <c r="O123" i="31" s="1"/>
  <c r="O126" i="31" a="1"/>
  <c r="O126" i="31" s="1"/>
  <c r="O42" i="31" a="1"/>
  <c r="O42" i="31" s="1"/>
  <c r="O48" i="31" a="1"/>
  <c r="O48" i="31" s="1"/>
  <c r="N127" i="31" a="1"/>
  <c r="N127" i="31" s="1"/>
  <c r="N43" i="31" a="1"/>
  <c r="N43" i="31" s="1"/>
  <c r="N45" i="31" a="1"/>
  <c r="N45" i="31" s="1"/>
  <c r="O50" i="31" a="1"/>
  <c r="O50" i="31" s="1"/>
  <c r="D93" i="28" l="1"/>
  <c r="E93" i="28"/>
  <c r="F93" i="28"/>
  <c r="J7" i="31" l="1" a="1"/>
  <c r="J7" i="31" s="1"/>
  <c r="L38" i="31" a="1"/>
  <c r="L38" i="31" s="1"/>
  <c r="L52" i="31" a="1"/>
  <c r="L52" i="31" s="1"/>
  <c r="J81" i="31" a="1"/>
  <c r="J81" i="31" s="1"/>
  <c r="L7" i="31" a="1"/>
  <c r="L7" i="31" s="1"/>
  <c r="J52" i="31" a="1"/>
  <c r="J52" i="31" s="1"/>
  <c r="M83" i="31" a="1"/>
  <c r="M83" i="31" s="1"/>
  <c r="I83" i="31" a="1"/>
  <c r="I83" i="31" s="1"/>
  <c r="L82" i="31" a="1"/>
  <c r="L82" i="31" s="1"/>
  <c r="L81" i="31" a="1"/>
  <c r="L81" i="31" s="1"/>
  <c r="L83" i="31" a="1"/>
  <c r="L83" i="31" s="1"/>
  <c r="M37" i="31" a="1"/>
  <c r="M37" i="31" s="1"/>
  <c r="K8" i="31" a="1"/>
  <c r="K8" i="31" s="1"/>
  <c r="I51" i="31" a="1"/>
  <c r="I51" i="31" s="1"/>
  <c r="J6" i="31" a="1"/>
  <c r="J6" i="31" s="1"/>
  <c r="J8" i="31" a="1"/>
  <c r="J8" i="31" s="1"/>
  <c r="L37" i="31" a="1"/>
  <c r="L37" i="31" s="1"/>
  <c r="M6" i="31" a="1"/>
  <c r="M6" i="31" s="1"/>
  <c r="M8" i="31" a="1"/>
  <c r="M8" i="31" s="1"/>
  <c r="I37" i="31" a="1"/>
  <c r="I37" i="31" s="1"/>
  <c r="I82" i="31" a="1"/>
  <c r="I82" i="31" s="1"/>
  <c r="J36" i="31" a="1"/>
  <c r="J36" i="31" s="1"/>
  <c r="L6" i="31" a="1"/>
  <c r="L6" i="31" s="1"/>
  <c r="J51" i="31" a="1"/>
  <c r="J51" i="31" s="1"/>
  <c r="M82" i="31" a="1"/>
  <c r="M82" i="31" s="1"/>
  <c r="K83" i="31" a="1"/>
  <c r="K83" i="31" s="1"/>
  <c r="K51" i="31" a="1"/>
  <c r="K51" i="31" s="1"/>
  <c r="K82" i="31" a="1"/>
  <c r="K82" i="31" s="1"/>
  <c r="I52" i="31" a="1"/>
  <c r="I52" i="31" s="1"/>
  <c r="I6" i="31" a="1"/>
  <c r="I6" i="31" s="1"/>
  <c r="M81" i="31" a="1"/>
  <c r="M81" i="31" s="1"/>
  <c r="J37" i="31" a="1"/>
  <c r="J37" i="31" s="1"/>
  <c r="J38" i="31" a="1"/>
  <c r="J38" i="31" s="1"/>
  <c r="M53" i="31" a="1"/>
  <c r="M53" i="31" s="1"/>
  <c r="I7" i="31" a="1"/>
  <c r="I7" i="31" s="1"/>
  <c r="L36" i="31" a="1"/>
  <c r="L36" i="31" s="1"/>
  <c r="I8" i="31" a="1"/>
  <c r="I8" i="31" s="1"/>
  <c r="J83" i="31" a="1"/>
  <c r="J83" i="31" s="1"/>
  <c r="L53" i="31" a="1"/>
  <c r="L53" i="31" s="1"/>
  <c r="K37" i="31" a="1"/>
  <c r="K37" i="31" s="1"/>
  <c r="K38" i="31" a="1"/>
  <c r="K38" i="31" s="1"/>
  <c r="M38" i="31" a="1"/>
  <c r="M38" i="31" s="1"/>
  <c r="I36" i="31" a="1"/>
  <c r="I36" i="31" s="1"/>
  <c r="I53" i="31" a="1"/>
  <c r="I53" i="31" s="1"/>
  <c r="J82" i="31" a="1"/>
  <c r="J82" i="31" s="1"/>
  <c r="M51" i="31" a="1"/>
  <c r="M51" i="31" s="1"/>
  <c r="K53" i="31" a="1"/>
  <c r="K53" i="31" s="1"/>
  <c r="K52" i="31" a="1"/>
  <c r="K52" i="31" s="1"/>
  <c r="K21" i="31" a="1"/>
  <c r="K21" i="31" s="1"/>
  <c r="K46" i="31" a="1"/>
  <c r="K46" i="31" s="1"/>
  <c r="K109" i="31" a="1"/>
  <c r="K109" i="31" s="1"/>
  <c r="K115" i="31" a="1"/>
  <c r="K115" i="31" s="1"/>
  <c r="K19" i="31" a="1"/>
  <c r="K19" i="31" s="1"/>
  <c r="K44" i="31" a="1"/>
  <c r="K44" i="31" s="1"/>
  <c r="K114" i="31" a="1"/>
  <c r="K114" i="31" s="1"/>
  <c r="K78" i="31" a="1"/>
  <c r="K78" i="31" s="1"/>
  <c r="K106" i="31" a="1"/>
  <c r="K106" i="31" s="1"/>
  <c r="K110" i="31" a="1"/>
  <c r="K110" i="31" s="1"/>
  <c r="K121" i="31" a="1"/>
  <c r="K121" i="31" s="1"/>
  <c r="K63" i="31" a="1"/>
  <c r="K63" i="31" s="1"/>
  <c r="K68" i="31" a="1"/>
  <c r="K68" i="31" s="1"/>
  <c r="K15" i="31" a="1"/>
  <c r="K15" i="31" s="1"/>
  <c r="K18" i="31" a="1"/>
  <c r="K18" i="31" s="1"/>
  <c r="K12" i="31" a="1"/>
  <c r="K12" i="31" s="1"/>
  <c r="K113" i="31" a="1"/>
  <c r="K113" i="31" s="1"/>
  <c r="K55" i="31" a="1"/>
  <c r="K55" i="31" s="1"/>
  <c r="K61" i="31" a="1"/>
  <c r="K61" i="31" s="1"/>
  <c r="K23" i="31" a="1"/>
  <c r="K23" i="31" s="1"/>
  <c r="K101" i="31" a="1"/>
  <c r="K101" i="31" s="1"/>
  <c r="K122" i="31" a="1"/>
  <c r="K122" i="31" s="1"/>
  <c r="K59" i="31" a="1"/>
  <c r="K59" i="31" s="1"/>
  <c r="K85" i="31" a="1"/>
  <c r="K85" i="31" s="1"/>
  <c r="K84" i="31" a="1"/>
  <c r="K84" i="31" s="1"/>
  <c r="K123" i="31" a="1"/>
  <c r="K123" i="31" s="1"/>
  <c r="K119" i="31" a="1"/>
  <c r="K119" i="31" s="1"/>
  <c r="K32" i="31" a="1"/>
  <c r="K32" i="31" s="1"/>
  <c r="K92" i="31" a="1"/>
  <c r="K92" i="31" s="1"/>
  <c r="K72" i="31" a="1"/>
  <c r="K72" i="31" s="1"/>
  <c r="K28" i="31" a="1"/>
  <c r="K28" i="31" s="1"/>
  <c r="K50" i="31" a="1"/>
  <c r="K50" i="31" s="1"/>
  <c r="K129" i="31" a="1"/>
  <c r="K129" i="31" s="1"/>
  <c r="K97" i="31" a="1"/>
  <c r="K97" i="31" s="1"/>
  <c r="K64" i="31" a="1"/>
  <c r="K64" i="31" s="1"/>
  <c r="K22" i="31" a="1"/>
  <c r="K22" i="31" s="1"/>
  <c r="K56" i="31" a="1"/>
  <c r="K56" i="31" s="1"/>
  <c r="K30" i="31" a="1"/>
  <c r="K30" i="31" s="1"/>
  <c r="K98" i="31" a="1"/>
  <c r="K98" i="31" s="1"/>
  <c r="K31" i="31" a="1"/>
  <c r="K31" i="31" s="1"/>
  <c r="K94" i="31" a="1"/>
  <c r="K94" i="31" s="1"/>
  <c r="K77" i="31" a="1"/>
  <c r="K77" i="31" s="1"/>
  <c r="K89" i="31" a="1"/>
  <c r="K89" i="31" s="1"/>
  <c r="K43" i="31" a="1"/>
  <c r="K43" i="31" s="1"/>
  <c r="K27" i="31" a="1"/>
  <c r="K27" i="31" s="1"/>
  <c r="K40" i="31" a="1"/>
  <c r="K40" i="31" s="1"/>
  <c r="K125" i="31" a="1"/>
  <c r="K125" i="31" s="1"/>
  <c r="K58" i="31" a="1"/>
  <c r="K58" i="31" s="1"/>
  <c r="K126" i="31" a="1"/>
  <c r="K126" i="31" s="1"/>
  <c r="K87" i="31" a="1"/>
  <c r="K87" i="31" s="1"/>
  <c r="K24" i="31" a="1"/>
  <c r="K24" i="31" s="1"/>
  <c r="K86" i="31" a="1"/>
  <c r="K86" i="31" s="1"/>
  <c r="K34" i="31" a="1"/>
  <c r="K34" i="31" s="1"/>
  <c r="K111" i="31" a="1"/>
  <c r="K111" i="31" s="1"/>
  <c r="K95" i="31" a="1"/>
  <c r="K95" i="31" s="1"/>
  <c r="K10" i="31" a="1"/>
  <c r="K10" i="31" s="1"/>
  <c r="K45" i="31" a="1"/>
  <c r="K45" i="31" s="1"/>
  <c r="K48" i="31" a="1"/>
  <c r="K48" i="31" s="1"/>
  <c r="K90" i="31" a="1"/>
  <c r="K90" i="31" s="1"/>
  <c r="K73" i="31" a="1"/>
  <c r="K73" i="31" s="1"/>
  <c r="K66" i="31" a="1"/>
  <c r="K66" i="31" s="1"/>
  <c r="K130" i="31" a="1"/>
  <c r="K130" i="31" s="1"/>
  <c r="K70" i="31" a="1"/>
  <c r="K70" i="31" s="1"/>
  <c r="K116" i="31" a="1"/>
  <c r="K116" i="31" s="1"/>
  <c r="K102" i="31" a="1"/>
  <c r="K102" i="31" s="1"/>
  <c r="K67" i="31" a="1"/>
  <c r="K67" i="31" s="1"/>
  <c r="K99" i="31" a="1"/>
  <c r="K99" i="31" s="1"/>
  <c r="K80" i="31" a="1"/>
  <c r="K80" i="31" s="1"/>
  <c r="K9" i="31" a="1"/>
  <c r="K9" i="31" s="1"/>
  <c r="K29" i="31" a="1"/>
  <c r="K29" i="31" s="1"/>
  <c r="K76" i="31" a="1"/>
  <c r="K76" i="31" s="1"/>
  <c r="K112" i="31" a="1"/>
  <c r="K112" i="31" s="1"/>
  <c r="K47" i="31" a="1"/>
  <c r="K47" i="31" s="1"/>
  <c r="K33" i="31" a="1"/>
  <c r="K33" i="31" s="1"/>
  <c r="K54" i="31" a="1"/>
  <c r="K54" i="31" s="1"/>
  <c r="K118" i="31" a="1"/>
  <c r="K118" i="31" s="1"/>
  <c r="K41" i="31" a="1"/>
  <c r="K41" i="31" s="1"/>
  <c r="K17" i="31" a="1"/>
  <c r="K17" i="31" s="1"/>
  <c r="K127" i="31" a="1"/>
  <c r="K127" i="31" s="1"/>
  <c r="K131" i="31" a="1"/>
  <c r="K131" i="31" s="1"/>
  <c r="K104" i="31" a="1"/>
  <c r="K104" i="31" s="1"/>
  <c r="K71" i="31" a="1"/>
  <c r="K71" i="31" s="1"/>
  <c r="K100" i="31" a="1"/>
  <c r="K100" i="31" s="1"/>
  <c r="K57" i="31" a="1"/>
  <c r="K57" i="31" s="1"/>
  <c r="K35" i="31" a="1"/>
  <c r="K35" i="31" s="1"/>
  <c r="K107" i="31" a="1"/>
  <c r="K107" i="31" s="1"/>
  <c r="K62" i="31" a="1"/>
  <c r="K62" i="31" s="1"/>
  <c r="K91" i="31" a="1"/>
  <c r="K91" i="31" s="1"/>
  <c r="K49" i="31" a="1"/>
  <c r="K49" i="31" s="1"/>
  <c r="K74" i="31" a="1"/>
  <c r="K74" i="31" s="1"/>
  <c r="K108" i="31" a="1"/>
  <c r="K108" i="31" s="1"/>
  <c r="K69" i="31" a="1"/>
  <c r="K69" i="31" s="1"/>
  <c r="K42" i="31" a="1"/>
  <c r="K42" i="31" s="1"/>
  <c r="K105" i="31" a="1"/>
  <c r="K105" i="31" s="1"/>
  <c r="K20" i="31" a="1"/>
  <c r="K20" i="31" s="1"/>
  <c r="K103" i="31" a="1"/>
  <c r="K103" i="31" s="1"/>
  <c r="K14" i="31" a="1"/>
  <c r="K14" i="31" s="1"/>
  <c r="K13" i="31" a="1"/>
  <c r="K13" i="31" s="1"/>
  <c r="K65" i="31" a="1"/>
  <c r="K65" i="31" s="1"/>
  <c r="K39" i="31" a="1"/>
  <c r="K39" i="31" s="1"/>
  <c r="K93" i="31" a="1"/>
  <c r="K93" i="31" s="1"/>
  <c r="K117" i="31" a="1"/>
  <c r="K117" i="31" s="1"/>
  <c r="K26" i="31" a="1"/>
  <c r="K26" i="31" s="1"/>
  <c r="K120" i="31" a="1"/>
  <c r="K120" i="31" s="1"/>
  <c r="K60" i="31" a="1"/>
  <c r="K60" i="31" s="1"/>
  <c r="K25" i="31" a="1"/>
  <c r="K25" i="31" s="1"/>
  <c r="K96" i="31" a="1"/>
  <c r="K96" i="31" s="1"/>
  <c r="K16" i="31" a="1"/>
  <c r="K16" i="31" s="1"/>
  <c r="K88" i="31" a="1"/>
  <c r="K88" i="31" s="1"/>
  <c r="K79" i="31" a="1"/>
  <c r="K79" i="31" s="1"/>
  <c r="K128" i="31" a="1"/>
  <c r="K128" i="31" s="1"/>
  <c r="K75" i="31" a="1"/>
  <c r="K75" i="31" s="1"/>
  <c r="K11" i="31" a="1"/>
  <c r="K11" i="31" s="1"/>
  <c r="K124" i="31" a="1"/>
  <c r="K124" i="31" s="1"/>
  <c r="M36" i="31" a="1"/>
  <c r="M36" i="31" s="1"/>
  <c r="L51" i="31" a="1"/>
  <c r="L51" i="31" s="1"/>
  <c r="L8" i="31" a="1"/>
  <c r="L8" i="31" s="1"/>
  <c r="L61" i="31" a="1"/>
  <c r="L61" i="31" s="1"/>
  <c r="L125" i="31" a="1"/>
  <c r="L125" i="31" s="1"/>
  <c r="L29" i="31" a="1"/>
  <c r="L29" i="31" s="1"/>
  <c r="L68" i="31" a="1"/>
  <c r="L68" i="31" s="1"/>
  <c r="L22" i="31" a="1"/>
  <c r="L22" i="31" s="1"/>
  <c r="L12" i="31" a="1"/>
  <c r="L12" i="31" s="1"/>
  <c r="L72" i="31" a="1"/>
  <c r="L72" i="31" s="1"/>
  <c r="L62" i="31" a="1"/>
  <c r="L62" i="31" s="1"/>
  <c r="L9" i="31" a="1"/>
  <c r="L9" i="31" s="1"/>
  <c r="L89" i="31" a="1"/>
  <c r="L89" i="31" s="1"/>
  <c r="L101" i="31" a="1"/>
  <c r="L101" i="31" s="1"/>
  <c r="L94" i="31" a="1"/>
  <c r="L94" i="31" s="1"/>
  <c r="L45" i="31" a="1"/>
  <c r="L45" i="31" s="1"/>
  <c r="L35" i="31" a="1"/>
  <c r="L35" i="31" s="1"/>
  <c r="L63" i="31" a="1"/>
  <c r="L63" i="31" s="1"/>
  <c r="L75" i="31" a="1"/>
  <c r="L75" i="31" s="1"/>
  <c r="L123" i="31" a="1"/>
  <c r="L123" i="31" s="1"/>
  <c r="L17" i="31" a="1"/>
  <c r="L17" i="31" s="1"/>
  <c r="L56" i="31" a="1"/>
  <c r="L56" i="31" s="1"/>
  <c r="L31" i="31" a="1"/>
  <c r="L31" i="31" s="1"/>
  <c r="L95" i="31" a="1"/>
  <c r="L95" i="31" s="1"/>
  <c r="L44" i="31" a="1"/>
  <c r="L44" i="31" s="1"/>
  <c r="L57" i="31" a="1"/>
  <c r="L57" i="31" s="1"/>
  <c r="L58" i="31" a="1"/>
  <c r="L58" i="31" s="1"/>
  <c r="L73" i="31" a="1"/>
  <c r="L73" i="31" s="1"/>
  <c r="L99" i="31" a="1"/>
  <c r="L99" i="31" s="1"/>
  <c r="L107" i="31" a="1"/>
  <c r="L107" i="31" s="1"/>
  <c r="L46" i="31" a="1"/>
  <c r="L46" i="31" s="1"/>
  <c r="L18" i="31" a="1"/>
  <c r="L18" i="31" s="1"/>
  <c r="L28" i="31" a="1"/>
  <c r="L28" i="31" s="1"/>
  <c r="L109" i="31" a="1"/>
  <c r="L109" i="31" s="1"/>
  <c r="L106" i="31" a="1"/>
  <c r="L106" i="31" s="1"/>
  <c r="L71" i="31" a="1"/>
  <c r="L71" i="31" s="1"/>
  <c r="L55" i="31" a="1"/>
  <c r="L55" i="31" s="1"/>
  <c r="L112" i="31" a="1"/>
  <c r="L112" i="31" s="1"/>
  <c r="L127" i="31" a="1"/>
  <c r="L127" i="31" s="1"/>
  <c r="L24" i="31" a="1"/>
  <c r="L24" i="31" s="1"/>
  <c r="L92" i="31" a="1"/>
  <c r="L92" i="31" s="1"/>
  <c r="L66" i="31" a="1"/>
  <c r="L66" i="31" s="1"/>
  <c r="L70" i="31" a="1"/>
  <c r="L70" i="31" s="1"/>
  <c r="L16" i="31" a="1"/>
  <c r="L16" i="31" s="1"/>
  <c r="L131" i="31" a="1"/>
  <c r="L131" i="31" s="1"/>
  <c r="L69" i="31" a="1"/>
  <c r="L69" i="31" s="1"/>
  <c r="L23" i="31" a="1"/>
  <c r="L23" i="31" s="1"/>
  <c r="L13" i="31" a="1"/>
  <c r="L13" i="31" s="1"/>
  <c r="L26" i="31" a="1"/>
  <c r="L26" i="31" s="1"/>
  <c r="L122" i="31" a="1"/>
  <c r="L122" i="31" s="1"/>
  <c r="L54" i="31" a="1"/>
  <c r="L54" i="31" s="1"/>
  <c r="L79" i="31" a="1"/>
  <c r="L79" i="31" s="1"/>
  <c r="L118" i="31" a="1"/>
  <c r="L118" i="31" s="1"/>
  <c r="L41" i="31" a="1"/>
  <c r="L41" i="31" s="1"/>
  <c r="L100" i="31" a="1"/>
  <c r="L100" i="31" s="1"/>
  <c r="L98" i="31" a="1"/>
  <c r="L98" i="31" s="1"/>
  <c r="L103" i="31" a="1"/>
  <c r="L103" i="31" s="1"/>
  <c r="L90" i="31" a="1"/>
  <c r="L90" i="31" s="1"/>
  <c r="L116" i="31" a="1"/>
  <c r="L116" i="31" s="1"/>
  <c r="L11" i="31" a="1"/>
  <c r="L11" i="31" s="1"/>
  <c r="L30" i="31" a="1"/>
  <c r="L30" i="31" s="1"/>
  <c r="L19" i="31" a="1"/>
  <c r="L19" i="31" s="1"/>
  <c r="L78" i="31" a="1"/>
  <c r="L78" i="31" s="1"/>
  <c r="L25" i="31" a="1"/>
  <c r="L25" i="31" s="1"/>
  <c r="L48" i="31" a="1"/>
  <c r="L48" i="31" s="1"/>
  <c r="L32" i="31" a="1"/>
  <c r="L32" i="31" s="1"/>
  <c r="L40" i="31" a="1"/>
  <c r="L40" i="31" s="1"/>
  <c r="L130" i="31" a="1"/>
  <c r="L130" i="31" s="1"/>
  <c r="L67" i="31" a="1"/>
  <c r="L67" i="31" s="1"/>
  <c r="L105" i="31" a="1"/>
  <c r="L105" i="31" s="1"/>
  <c r="L115" i="31" a="1"/>
  <c r="L115" i="31" s="1"/>
  <c r="L34" i="31" a="1"/>
  <c r="L34" i="31" s="1"/>
  <c r="L111" i="31" a="1"/>
  <c r="L111" i="31" s="1"/>
  <c r="L117" i="31" a="1"/>
  <c r="L117" i="31" s="1"/>
  <c r="L65" i="31" a="1"/>
  <c r="L65" i="31" s="1"/>
  <c r="L120" i="31" a="1"/>
  <c r="L120" i="31" s="1"/>
  <c r="L20" i="31" a="1"/>
  <c r="L20" i="31" s="1"/>
  <c r="L27" i="31" a="1"/>
  <c r="L27" i="31" s="1"/>
  <c r="L39" i="31" a="1"/>
  <c r="L39" i="31" s="1"/>
  <c r="L110" i="31" a="1"/>
  <c r="L110" i="31" s="1"/>
  <c r="L50" i="31" a="1"/>
  <c r="L50" i="31" s="1"/>
  <c r="L85" i="31" a="1"/>
  <c r="L85" i="31" s="1"/>
  <c r="L126" i="31" a="1"/>
  <c r="L126" i="31" s="1"/>
  <c r="L77" i="31" a="1"/>
  <c r="L77" i="31" s="1"/>
  <c r="L64" i="31" a="1"/>
  <c r="L64" i="31" s="1"/>
  <c r="L108" i="31" a="1"/>
  <c r="L108" i="31" s="1"/>
  <c r="L86" i="31" a="1"/>
  <c r="L86" i="31" s="1"/>
  <c r="L33" i="31" a="1"/>
  <c r="L33" i="31" s="1"/>
  <c r="L59" i="31" a="1"/>
  <c r="L59" i="31" s="1"/>
  <c r="L88" i="31" a="1"/>
  <c r="L88" i="31" s="1"/>
  <c r="L76" i="31" a="1"/>
  <c r="L76" i="31" s="1"/>
  <c r="L47" i="31" a="1"/>
  <c r="L47" i="31" s="1"/>
  <c r="L97" i="31" a="1"/>
  <c r="L97" i="31" s="1"/>
  <c r="L87" i="31" a="1"/>
  <c r="L87" i="31" s="1"/>
  <c r="L15" i="31" a="1"/>
  <c r="L15" i="31" s="1"/>
  <c r="L74" i="31" a="1"/>
  <c r="L74" i="31" s="1"/>
  <c r="L102" i="31" a="1"/>
  <c r="L102" i="31" s="1"/>
  <c r="L96" i="31" a="1"/>
  <c r="L96" i="31" s="1"/>
  <c r="L21" i="31" a="1"/>
  <c r="L21" i="31" s="1"/>
  <c r="L10" i="31" a="1"/>
  <c r="L10" i="31" s="1"/>
  <c r="L49" i="31" a="1"/>
  <c r="L49" i="31" s="1"/>
  <c r="L124" i="31" a="1"/>
  <c r="L124" i="31" s="1"/>
  <c r="L104" i="31" a="1"/>
  <c r="L104" i="31" s="1"/>
  <c r="L91" i="31" a="1"/>
  <c r="L91" i="31" s="1"/>
  <c r="L121" i="31" a="1"/>
  <c r="L121" i="31" s="1"/>
  <c r="L119" i="31" a="1"/>
  <c r="L119" i="31" s="1"/>
  <c r="L128" i="31" a="1"/>
  <c r="L128" i="31" s="1"/>
  <c r="L80" i="31" a="1"/>
  <c r="L80" i="31" s="1"/>
  <c r="L114" i="31" a="1"/>
  <c r="L114" i="31" s="1"/>
  <c r="L129" i="31" a="1"/>
  <c r="L129" i="31" s="1"/>
  <c r="L42" i="31" a="1"/>
  <c r="L42" i="31" s="1"/>
  <c r="L113" i="31" a="1"/>
  <c r="L113" i="31" s="1"/>
  <c r="L93" i="31" a="1"/>
  <c r="L93" i="31" s="1"/>
  <c r="L84" i="31" a="1"/>
  <c r="L84" i="31" s="1"/>
  <c r="L43" i="31" a="1"/>
  <c r="L43" i="31" s="1"/>
  <c r="L14" i="31" a="1"/>
  <c r="L14" i="31" s="1"/>
  <c r="L60" i="31" a="1"/>
  <c r="L60" i="31" s="1"/>
  <c r="J53" i="31" a="1"/>
  <c r="J53" i="31" s="1"/>
  <c r="I21" i="31" a="1"/>
  <c r="I21" i="31" s="1"/>
  <c r="I110" i="31" a="1"/>
  <c r="I110" i="31" s="1"/>
  <c r="I48" i="31" a="1"/>
  <c r="I48" i="31" s="1"/>
  <c r="I42" i="31" a="1"/>
  <c r="I42" i="31" s="1"/>
  <c r="I71" i="31" a="1"/>
  <c r="I71" i="31" s="1"/>
  <c r="I46" i="31" a="1"/>
  <c r="I46" i="31" s="1"/>
  <c r="I20" i="31" a="1"/>
  <c r="I20" i="31" s="1"/>
  <c r="I34" i="31" a="1"/>
  <c r="I34" i="31" s="1"/>
  <c r="I72" i="31" a="1"/>
  <c r="I72" i="31" s="1"/>
  <c r="I68" i="31" a="1"/>
  <c r="I68" i="31" s="1"/>
  <c r="I105" i="31" a="1"/>
  <c r="I105" i="31" s="1"/>
  <c r="I93" i="31" a="1"/>
  <c r="I93" i="31" s="1"/>
  <c r="I58" i="31" a="1"/>
  <c r="I58" i="31" s="1"/>
  <c r="I57" i="31" a="1"/>
  <c r="I57" i="31" s="1"/>
  <c r="I17" i="31" a="1"/>
  <c r="I17" i="31" s="1"/>
  <c r="I114" i="31" a="1"/>
  <c r="I114" i="31" s="1"/>
  <c r="I94" i="31" a="1"/>
  <c r="I94" i="31" s="1"/>
  <c r="I118" i="31" a="1"/>
  <c r="I118" i="31" s="1"/>
  <c r="I77" i="31" a="1"/>
  <c r="I77" i="31" s="1"/>
  <c r="I62" i="31" a="1"/>
  <c r="I62" i="31" s="1"/>
  <c r="I24" i="31" a="1"/>
  <c r="I24" i="31" s="1"/>
  <c r="I76" i="31" a="1"/>
  <c r="I76" i="31" s="1"/>
  <c r="I49" i="31" a="1"/>
  <c r="I49" i="31" s="1"/>
  <c r="I14" i="31" a="1"/>
  <c r="I14" i="31" s="1"/>
  <c r="I127" i="31" a="1"/>
  <c r="I127" i="31" s="1"/>
  <c r="I29" i="31" a="1"/>
  <c r="I29" i="31" s="1"/>
  <c r="I131" i="31" a="1"/>
  <c r="I131" i="31" s="1"/>
  <c r="I64" i="31" a="1"/>
  <c r="I64" i="31" s="1"/>
  <c r="I69" i="31" a="1"/>
  <c r="I69" i="31" s="1"/>
  <c r="I23" i="31" a="1"/>
  <c r="I23" i="31" s="1"/>
  <c r="I66" i="31" a="1"/>
  <c r="I66" i="31" s="1"/>
  <c r="I120" i="31" a="1"/>
  <c r="I120" i="31" s="1"/>
  <c r="I13" i="31" a="1"/>
  <c r="I13" i="31" s="1"/>
  <c r="I12" i="31" a="1"/>
  <c r="I12" i="31" s="1"/>
  <c r="I112" i="31" a="1"/>
  <c r="I112" i="31" s="1"/>
  <c r="I88" i="31" a="1"/>
  <c r="I88" i="31" s="1"/>
  <c r="I73" i="31" a="1"/>
  <c r="I73" i="31" s="1"/>
  <c r="I39" i="31" a="1"/>
  <c r="I39" i="31" s="1"/>
  <c r="I28" i="31" a="1"/>
  <c r="I28" i="31" s="1"/>
  <c r="I84" i="31" a="1"/>
  <c r="I84" i="31" s="1"/>
  <c r="I60" i="31" a="1"/>
  <c r="I60" i="31" s="1"/>
  <c r="I119" i="31" a="1"/>
  <c r="I119" i="31" s="1"/>
  <c r="I31" i="31" a="1"/>
  <c r="I31" i="31" s="1"/>
  <c r="I96" i="31" a="1"/>
  <c r="I96" i="31" s="1"/>
  <c r="I54" i="31" a="1"/>
  <c r="I54" i="31" s="1"/>
  <c r="I10" i="31" a="1"/>
  <c r="I10" i="31" s="1"/>
  <c r="I65" i="31" a="1"/>
  <c r="I65" i="31" s="1"/>
  <c r="I104" i="31" a="1"/>
  <c r="I104" i="31" s="1"/>
  <c r="I9" i="31" a="1"/>
  <c r="I9" i="31" s="1"/>
  <c r="I22" i="31" a="1"/>
  <c r="I22" i="31" s="1"/>
  <c r="I86" i="31" a="1"/>
  <c r="I86" i="31" s="1"/>
  <c r="I121" i="31" a="1"/>
  <c r="I121" i="31" s="1"/>
  <c r="I102" i="31" a="1"/>
  <c r="I102" i="31" s="1"/>
  <c r="I122" i="31" a="1"/>
  <c r="I122" i="31" s="1"/>
  <c r="I100" i="31" a="1"/>
  <c r="I100" i="31" s="1"/>
  <c r="I97" i="31" a="1"/>
  <c r="I97" i="31" s="1"/>
  <c r="I126" i="31" a="1"/>
  <c r="I126" i="31" s="1"/>
  <c r="I35" i="31" a="1"/>
  <c r="I35" i="31" s="1"/>
  <c r="I101" i="31" a="1"/>
  <c r="I101" i="31" s="1"/>
  <c r="I109" i="31" a="1"/>
  <c r="I109" i="31" s="1"/>
  <c r="I99" i="31" a="1"/>
  <c r="I99" i="31" s="1"/>
  <c r="I98" i="31" a="1"/>
  <c r="I98" i="31" s="1"/>
  <c r="I116" i="31" a="1"/>
  <c r="I116" i="31" s="1"/>
  <c r="I32" i="31" a="1"/>
  <c r="I32" i="31" s="1"/>
  <c r="I108" i="31" a="1"/>
  <c r="I108" i="31" s="1"/>
  <c r="I11" i="31" a="1"/>
  <c r="I11" i="31" s="1"/>
  <c r="I43" i="31" a="1"/>
  <c r="I43" i="31" s="1"/>
  <c r="I130" i="31" a="1"/>
  <c r="I130" i="31" s="1"/>
  <c r="I41" i="31" a="1"/>
  <c r="I41" i="31" s="1"/>
  <c r="I27" i="31" a="1"/>
  <c r="I27" i="31" s="1"/>
  <c r="I18" i="31" a="1"/>
  <c r="I18" i="31" s="1"/>
  <c r="I33" i="31" a="1"/>
  <c r="I33" i="31" s="1"/>
  <c r="I19" i="31" a="1"/>
  <c r="I19" i="31" s="1"/>
  <c r="I75" i="31" a="1"/>
  <c r="I75" i="31" s="1"/>
  <c r="I47" i="31" a="1"/>
  <c r="I47" i="31" s="1"/>
  <c r="I128" i="31" a="1"/>
  <c r="I128" i="31" s="1"/>
  <c r="I129" i="31" a="1"/>
  <c r="I129" i="31" s="1"/>
  <c r="I15" i="31" a="1"/>
  <c r="I15" i="31" s="1"/>
  <c r="I55" i="31" a="1"/>
  <c r="I55" i="31" s="1"/>
  <c r="I45" i="31" a="1"/>
  <c r="I45" i="31" s="1"/>
  <c r="I61" i="31" a="1"/>
  <c r="I61" i="31" s="1"/>
  <c r="I124" i="31" a="1"/>
  <c r="I124" i="31" s="1"/>
  <c r="I63" i="31" a="1"/>
  <c r="I63" i="31" s="1"/>
  <c r="I59" i="31" a="1"/>
  <c r="I59" i="31" s="1"/>
  <c r="I111" i="31" a="1"/>
  <c r="I111" i="31" s="1"/>
  <c r="I87" i="31" a="1"/>
  <c r="I87" i="31" s="1"/>
  <c r="I113" i="31" a="1"/>
  <c r="I113" i="31" s="1"/>
  <c r="I89" i="31" a="1"/>
  <c r="I89" i="31" s="1"/>
  <c r="I40" i="31" a="1"/>
  <c r="I40" i="31" s="1"/>
  <c r="I80" i="31" a="1"/>
  <c r="I80" i="31" s="1"/>
  <c r="I92" i="31" a="1"/>
  <c r="I92" i="31" s="1"/>
  <c r="I74" i="31" a="1"/>
  <c r="I74" i="31" s="1"/>
  <c r="I67" i="31" a="1"/>
  <c r="I67" i="31" s="1"/>
  <c r="I25" i="31" a="1"/>
  <c r="I25" i="31" s="1"/>
  <c r="I90" i="31" a="1"/>
  <c r="I90" i="31" s="1"/>
  <c r="I56" i="31" a="1"/>
  <c r="I56" i="31" s="1"/>
  <c r="I85" i="31" a="1"/>
  <c r="I85" i="31" s="1"/>
  <c r="I50" i="31" a="1"/>
  <c r="I50" i="31" s="1"/>
  <c r="I30" i="31" a="1"/>
  <c r="I30" i="31" s="1"/>
  <c r="I125" i="31" a="1"/>
  <c r="I125" i="31" s="1"/>
  <c r="I115" i="31" a="1"/>
  <c r="I115" i="31" s="1"/>
  <c r="I78" i="31" a="1"/>
  <c r="I78" i="31" s="1"/>
  <c r="I91" i="31" a="1"/>
  <c r="I91" i="31" s="1"/>
  <c r="I70" i="31" a="1"/>
  <c r="I70" i="31" s="1"/>
  <c r="I123" i="31" a="1"/>
  <c r="I123" i="31" s="1"/>
  <c r="I117" i="31" a="1"/>
  <c r="I117" i="31" s="1"/>
  <c r="I26" i="31" a="1"/>
  <c r="I26" i="31" s="1"/>
  <c r="I106" i="31" a="1"/>
  <c r="I106" i="31" s="1"/>
  <c r="I16" i="31" a="1"/>
  <c r="I16" i="31" s="1"/>
  <c r="I95" i="31" a="1"/>
  <c r="I95" i="31" s="1"/>
  <c r="I44" i="31" a="1"/>
  <c r="I44" i="31" s="1"/>
  <c r="I103" i="31" a="1"/>
  <c r="I103" i="31" s="1"/>
  <c r="I107" i="31" a="1"/>
  <c r="I107" i="31" s="1"/>
  <c r="I79" i="31" a="1"/>
  <c r="I79" i="31" s="1"/>
  <c r="K6" i="31" a="1"/>
  <c r="K6" i="31" s="1"/>
  <c r="K7" i="31" a="1"/>
  <c r="K7" i="31" s="1"/>
  <c r="M52" i="31" a="1"/>
  <c r="M52" i="31" s="1"/>
  <c r="M7" i="31" a="1"/>
  <c r="M7" i="31" s="1"/>
  <c r="K36" i="31" a="1"/>
  <c r="K36" i="31" s="1"/>
  <c r="J57" i="31" a="1"/>
  <c r="J57" i="31" s="1"/>
  <c r="J30" i="31" a="1"/>
  <c r="J30" i="31" s="1"/>
  <c r="J21" i="31" a="1"/>
  <c r="J21" i="31" s="1"/>
  <c r="J11" i="31" a="1"/>
  <c r="J11" i="31" s="1"/>
  <c r="J14" i="31" a="1"/>
  <c r="J14" i="31" s="1"/>
  <c r="J96" i="31" a="1"/>
  <c r="J96" i="31" s="1"/>
  <c r="J79" i="31" a="1"/>
  <c r="J79" i="31" s="1"/>
  <c r="J9" i="31" a="1"/>
  <c r="J9" i="31" s="1"/>
  <c r="J114" i="31" a="1"/>
  <c r="J114" i="31" s="1"/>
  <c r="J95" i="31" a="1"/>
  <c r="J95" i="31" s="1"/>
  <c r="J87" i="31" a="1"/>
  <c r="J87" i="31" s="1"/>
  <c r="J85" i="31" a="1"/>
  <c r="J85" i="31" s="1"/>
  <c r="J42" i="31" a="1"/>
  <c r="J42" i="31" s="1"/>
  <c r="J113" i="31" a="1"/>
  <c r="J113" i="31" s="1"/>
  <c r="J10" i="31" a="1"/>
  <c r="J10" i="31" s="1"/>
  <c r="J32" i="31" a="1"/>
  <c r="J32" i="31" s="1"/>
  <c r="J13" i="31" a="1"/>
  <c r="J13" i="31" s="1"/>
  <c r="J98" i="31" a="1"/>
  <c r="J98" i="31" s="1"/>
  <c r="J28" i="31" a="1"/>
  <c r="J28" i="31" s="1"/>
  <c r="J61" i="31" a="1"/>
  <c r="J61" i="31" s="1"/>
  <c r="J49" i="31" a="1"/>
  <c r="J49" i="31" s="1"/>
  <c r="J31" i="31" a="1"/>
  <c r="J31" i="31" s="1"/>
  <c r="J127" i="31" a="1"/>
  <c r="J127" i="31" s="1"/>
  <c r="J44" i="31" a="1"/>
  <c r="J44" i="31" s="1"/>
  <c r="J126" i="31" a="1"/>
  <c r="J126" i="31" s="1"/>
  <c r="J88" i="31" a="1"/>
  <c r="J88" i="31" s="1"/>
  <c r="J24" i="31" a="1"/>
  <c r="J24" i="31" s="1"/>
  <c r="J41" i="31" a="1"/>
  <c r="J41" i="31" s="1"/>
  <c r="J84" i="31" a="1"/>
  <c r="J84" i="31" s="1"/>
  <c r="J118" i="31" a="1"/>
  <c r="J118" i="31" s="1"/>
  <c r="J62" i="31" a="1"/>
  <c r="J62" i="31" s="1"/>
  <c r="J39" i="31" a="1"/>
  <c r="J39" i="31" s="1"/>
  <c r="J86" i="31" a="1"/>
  <c r="J86" i="31" s="1"/>
  <c r="J94" i="31" a="1"/>
  <c r="J94" i="31" s="1"/>
  <c r="J119" i="31" a="1"/>
  <c r="J119" i="31" s="1"/>
  <c r="J35" i="31" a="1"/>
  <c r="J35" i="31" s="1"/>
  <c r="J64" i="31" a="1"/>
  <c r="J64" i="31" s="1"/>
  <c r="J63" i="31" a="1"/>
  <c r="J63" i="31" s="1"/>
  <c r="J92" i="31" a="1"/>
  <c r="J92" i="31" s="1"/>
  <c r="J117" i="31" a="1"/>
  <c r="J117" i="31" s="1"/>
  <c r="J102" i="31" a="1"/>
  <c r="J102" i="31" s="1"/>
  <c r="J121" i="31" a="1"/>
  <c r="J121" i="31" s="1"/>
  <c r="J78" i="31" a="1"/>
  <c r="J78" i="31" s="1"/>
  <c r="J70" i="31" a="1"/>
  <c r="J70" i="31" s="1"/>
  <c r="J50" i="31" a="1"/>
  <c r="J50" i="31" s="1"/>
  <c r="J91" i="31" a="1"/>
  <c r="J91" i="31" s="1"/>
  <c r="J93" i="31" a="1"/>
  <c r="J93" i="31" s="1"/>
  <c r="J18" i="31" a="1"/>
  <c r="J18" i="31" s="1"/>
  <c r="J55" i="31" a="1"/>
  <c r="J55" i="31" s="1"/>
  <c r="J107" i="31" a="1"/>
  <c r="J107" i="31" s="1"/>
  <c r="J120" i="31" a="1"/>
  <c r="J120" i="31" s="1"/>
  <c r="J45" i="31" a="1"/>
  <c r="J45" i="31" s="1"/>
  <c r="J77" i="31" a="1"/>
  <c r="J77" i="31" s="1"/>
  <c r="J129" i="31" a="1"/>
  <c r="J129" i="31" s="1"/>
  <c r="J110" i="31" a="1"/>
  <c r="J110" i="31" s="1"/>
  <c r="J97" i="31" a="1"/>
  <c r="J97" i="31" s="1"/>
  <c r="J67" i="31" a="1"/>
  <c r="J67" i="31" s="1"/>
  <c r="J106" i="31" a="1"/>
  <c r="J106" i="31" s="1"/>
  <c r="J23" i="31" a="1"/>
  <c r="J23" i="31" s="1"/>
  <c r="J123" i="31" a="1"/>
  <c r="J123" i="31" s="1"/>
  <c r="J25" i="31" a="1"/>
  <c r="J25" i="31" s="1"/>
  <c r="J59" i="31" a="1"/>
  <c r="J59" i="31" s="1"/>
  <c r="J34" i="31" a="1"/>
  <c r="J34" i="31" s="1"/>
  <c r="J125" i="31" a="1"/>
  <c r="J125" i="31" s="1"/>
  <c r="J112" i="31" a="1"/>
  <c r="J112" i="31" s="1"/>
  <c r="J66" i="31" a="1"/>
  <c r="J66" i="31" s="1"/>
  <c r="J43" i="31" a="1"/>
  <c r="J43" i="31" s="1"/>
  <c r="J60" i="31" a="1"/>
  <c r="J60" i="31" s="1"/>
  <c r="J56" i="31" a="1"/>
  <c r="J56" i="31" s="1"/>
  <c r="J105" i="31" a="1"/>
  <c r="J105" i="31" s="1"/>
  <c r="J58" i="31" a="1"/>
  <c r="J58" i="31" s="1"/>
  <c r="J22" i="31" a="1"/>
  <c r="J22" i="31" s="1"/>
  <c r="J26" i="31" a="1"/>
  <c r="J26" i="31" s="1"/>
  <c r="J131" i="31" a="1"/>
  <c r="J131" i="31" s="1"/>
  <c r="J12" i="31" a="1"/>
  <c r="J12" i="31" s="1"/>
  <c r="J15" i="31" a="1"/>
  <c r="J15" i="31" s="1"/>
  <c r="J104" i="31" a="1"/>
  <c r="J104" i="31" s="1"/>
  <c r="J80" i="31" a="1"/>
  <c r="J80" i="31" s="1"/>
  <c r="J124" i="31" a="1"/>
  <c r="J124" i="31" s="1"/>
  <c r="J111" i="31" a="1"/>
  <c r="J111" i="31" s="1"/>
  <c r="J69" i="31" a="1"/>
  <c r="J69" i="31" s="1"/>
  <c r="J103" i="31" a="1"/>
  <c r="J103" i="31" s="1"/>
  <c r="J48" i="31" a="1"/>
  <c r="J48" i="31" s="1"/>
  <c r="J40" i="31" a="1"/>
  <c r="J40" i="31" s="1"/>
  <c r="J115" i="31" a="1"/>
  <c r="J115" i="31" s="1"/>
  <c r="J54" i="31" a="1"/>
  <c r="J54" i="31" s="1"/>
  <c r="J128" i="31" a="1"/>
  <c r="J128" i="31" s="1"/>
  <c r="J19" i="31" a="1"/>
  <c r="J19" i="31" s="1"/>
  <c r="J27" i="31" a="1"/>
  <c r="J27" i="31" s="1"/>
  <c r="J130" i="31" a="1"/>
  <c r="J130" i="31" s="1"/>
  <c r="J89" i="31" a="1"/>
  <c r="J89" i="31" s="1"/>
  <c r="J17" i="31" a="1"/>
  <c r="J17" i="31" s="1"/>
  <c r="J101" i="31" a="1"/>
  <c r="J101" i="31" s="1"/>
  <c r="J74" i="31" a="1"/>
  <c r="J74" i="31" s="1"/>
  <c r="J68" i="31" a="1"/>
  <c r="J68" i="31" s="1"/>
  <c r="J90" i="31" a="1"/>
  <c r="J90" i="31" s="1"/>
  <c r="J65" i="31" a="1"/>
  <c r="J65" i="31" s="1"/>
  <c r="J73" i="31" a="1"/>
  <c r="J73" i="31" s="1"/>
  <c r="J72" i="31" a="1"/>
  <c r="J72" i="31" s="1"/>
  <c r="J46" i="31" a="1"/>
  <c r="J46" i="31" s="1"/>
  <c r="J100" i="31" a="1"/>
  <c r="J100" i="31" s="1"/>
  <c r="J33" i="31" a="1"/>
  <c r="J33" i="31" s="1"/>
  <c r="J75" i="31" a="1"/>
  <c r="J75" i="31" s="1"/>
  <c r="J122" i="31" a="1"/>
  <c r="J122" i="31" s="1"/>
  <c r="J108" i="31" a="1"/>
  <c r="J108" i="31" s="1"/>
  <c r="J109" i="31" a="1"/>
  <c r="J109" i="31" s="1"/>
  <c r="J71" i="31" a="1"/>
  <c r="J71" i="31" s="1"/>
  <c r="J29" i="31" a="1"/>
  <c r="J29" i="31" s="1"/>
  <c r="J47" i="31" a="1"/>
  <c r="J47" i="31" s="1"/>
  <c r="J20" i="31" a="1"/>
  <c r="J20" i="31" s="1"/>
  <c r="J116" i="31" a="1"/>
  <c r="J116" i="31" s="1"/>
  <c r="J99" i="31" a="1"/>
  <c r="J99" i="31" s="1"/>
  <c r="J76" i="31" a="1"/>
  <c r="J76" i="31" s="1"/>
  <c r="J16" i="31" a="1"/>
  <c r="J16" i="31" s="1"/>
  <c r="I38" i="31" a="1"/>
  <c r="I38" i="31" s="1"/>
  <c r="K81" i="31" a="1"/>
  <c r="K81" i="31" s="1"/>
  <c r="M9" i="31" a="1"/>
  <c r="M9" i="31" s="1"/>
  <c r="M39" i="31" a="1"/>
  <c r="M39" i="31" s="1"/>
  <c r="M78" i="31" a="1"/>
  <c r="M78" i="31" s="1"/>
  <c r="M74" i="31" a="1"/>
  <c r="M74" i="31" s="1"/>
  <c r="M64" i="31" a="1"/>
  <c r="M64" i="31" s="1"/>
  <c r="M26" i="31" a="1"/>
  <c r="M26" i="31" s="1"/>
  <c r="M73" i="31" a="1"/>
  <c r="M73" i="31" s="1"/>
  <c r="M120" i="31" a="1"/>
  <c r="M120" i="31" s="1"/>
  <c r="M80" i="31" a="1"/>
  <c r="M80" i="31" s="1"/>
  <c r="M32" i="31" a="1"/>
  <c r="M32" i="31" s="1"/>
  <c r="M55" i="31" a="1"/>
  <c r="M55" i="31" s="1"/>
  <c r="M17" i="31" a="1"/>
  <c r="M17" i="31" s="1"/>
  <c r="M111" i="31" a="1"/>
  <c r="M111" i="31" s="1"/>
  <c r="M49" i="31" a="1"/>
  <c r="M49" i="31" s="1"/>
  <c r="M114" i="31" a="1"/>
  <c r="M114" i="31" s="1"/>
  <c r="M19" i="31" a="1"/>
  <c r="M19" i="31" s="1"/>
  <c r="M130" i="31" a="1"/>
  <c r="M130" i="31" s="1"/>
  <c r="M23" i="31" a="1"/>
  <c r="M23" i="31" s="1"/>
  <c r="M33" i="31" a="1"/>
  <c r="M33" i="31" s="1"/>
  <c r="M87" i="31" a="1"/>
  <c r="M87" i="31" s="1"/>
  <c r="M25" i="31" a="1"/>
  <c r="M25" i="31" s="1"/>
  <c r="M118" i="31" a="1"/>
  <c r="M118" i="31" s="1"/>
  <c r="M18" i="31" a="1"/>
  <c r="M18" i="31" s="1"/>
  <c r="M93" i="31" a="1"/>
  <c r="M93" i="31" s="1"/>
  <c r="M54" i="31" a="1"/>
  <c r="M54" i="31" s="1"/>
  <c r="M68" i="31" a="1"/>
  <c r="M68" i="31" s="1"/>
  <c r="M131" i="31" a="1"/>
  <c r="M131" i="31" s="1"/>
  <c r="M115" i="31" a="1"/>
  <c r="M115" i="31" s="1"/>
  <c r="M76" i="31" a="1"/>
  <c r="M76" i="31" s="1"/>
  <c r="M101" i="31" a="1"/>
  <c r="M101" i="31" s="1"/>
  <c r="M90" i="31" a="1"/>
  <c r="M90" i="31" s="1"/>
  <c r="M69" i="31" a="1"/>
  <c r="M69" i="31" s="1"/>
  <c r="M91" i="31" a="1"/>
  <c r="M91" i="31" s="1"/>
  <c r="M21" i="31" a="1"/>
  <c r="M21" i="31" s="1"/>
  <c r="M123" i="31" a="1"/>
  <c r="M123" i="31" s="1"/>
  <c r="M11" i="31" a="1"/>
  <c r="M11" i="31" s="1"/>
  <c r="M67" i="31" a="1"/>
  <c r="M67" i="31" s="1"/>
  <c r="M59" i="31" a="1"/>
  <c r="M59" i="31" s="1"/>
  <c r="M56" i="31" a="1"/>
  <c r="M56" i="31" s="1"/>
  <c r="M35" i="31" a="1"/>
  <c r="M35" i="31" s="1"/>
  <c r="M128" i="31" a="1"/>
  <c r="M128" i="31" s="1"/>
  <c r="M27" i="31" a="1"/>
  <c r="M27" i="31" s="1"/>
  <c r="M95" i="31" a="1"/>
  <c r="M95" i="31" s="1"/>
  <c r="M61" i="31" a="1"/>
  <c r="M61" i="31" s="1"/>
  <c r="M41" i="31" a="1"/>
  <c r="M41" i="31" s="1"/>
  <c r="M28" i="31" a="1"/>
  <c r="M28" i="31" s="1"/>
  <c r="M14" i="31" a="1"/>
  <c r="M14" i="31" s="1"/>
  <c r="M71" i="31" a="1"/>
  <c r="M71" i="31" s="1"/>
  <c r="M75" i="31" a="1"/>
  <c r="M75" i="31" s="1"/>
  <c r="M48" i="31" a="1"/>
  <c r="M48" i="31" s="1"/>
  <c r="M109" i="31" a="1"/>
  <c r="M109" i="31" s="1"/>
  <c r="M22" i="31" a="1"/>
  <c r="M22" i="31" s="1"/>
  <c r="M119" i="31" a="1"/>
  <c r="M119" i="31" s="1"/>
  <c r="M125" i="31" a="1"/>
  <c r="M125" i="31" s="1"/>
  <c r="M88" i="31" a="1"/>
  <c r="M88" i="31" s="1"/>
  <c r="M116" i="31" a="1"/>
  <c r="M116" i="31" s="1"/>
  <c r="M30" i="31" a="1"/>
  <c r="M30" i="31" s="1"/>
  <c r="M12" i="31" a="1"/>
  <c r="M12" i="31" s="1"/>
  <c r="M72" i="31" a="1"/>
  <c r="M72" i="31" s="1"/>
  <c r="M46" i="31" a="1"/>
  <c r="M46" i="31" s="1"/>
  <c r="M122" i="31" a="1"/>
  <c r="M122" i="31" s="1"/>
  <c r="M113" i="31" a="1"/>
  <c r="M113" i="31" s="1"/>
  <c r="M98" i="31" a="1"/>
  <c r="M98" i="31" s="1"/>
  <c r="M58" i="31" a="1"/>
  <c r="M58" i="31" s="1"/>
  <c r="M10" i="31" a="1"/>
  <c r="M10" i="31" s="1"/>
  <c r="M121" i="31" a="1"/>
  <c r="M121" i="31" s="1"/>
  <c r="M29" i="31" a="1"/>
  <c r="M29" i="31" s="1"/>
  <c r="M70" i="31" a="1"/>
  <c r="M70" i="31" s="1"/>
  <c r="M77" i="31" a="1"/>
  <c r="M77" i="31" s="1"/>
  <c r="M20" i="31" a="1"/>
  <c r="M20" i="31" s="1"/>
  <c r="M40" i="31" a="1"/>
  <c r="M40" i="31" s="1"/>
  <c r="M16" i="31" a="1"/>
  <c r="M16" i="31" s="1"/>
  <c r="M102" i="31" a="1"/>
  <c r="M102" i="31" s="1"/>
  <c r="M79" i="31" a="1"/>
  <c r="M79" i="31" s="1"/>
  <c r="M84" i="31" a="1"/>
  <c r="M84" i="31" s="1"/>
  <c r="M112" i="31" a="1"/>
  <c r="M112" i="31" s="1"/>
  <c r="M107" i="31" a="1"/>
  <c r="M107" i="31" s="1"/>
  <c r="M63" i="31" a="1"/>
  <c r="M63" i="31" s="1"/>
  <c r="M86" i="31" a="1"/>
  <c r="M86" i="31" s="1"/>
  <c r="M108" i="31" a="1"/>
  <c r="M108" i="31" s="1"/>
  <c r="M42" i="31" a="1"/>
  <c r="M42" i="31" s="1"/>
  <c r="M85" i="31" a="1"/>
  <c r="M85" i="31" s="1"/>
  <c r="M104" i="31" a="1"/>
  <c r="M104" i="31" s="1"/>
  <c r="M66" i="31" a="1"/>
  <c r="M66" i="31" s="1"/>
  <c r="M47" i="31" a="1"/>
  <c r="M47" i="31" s="1"/>
  <c r="M110" i="31" a="1"/>
  <c r="M110" i="31" s="1"/>
  <c r="M117" i="31" a="1"/>
  <c r="M117" i="31" s="1"/>
  <c r="M50" i="31" a="1"/>
  <c r="M50" i="31" s="1"/>
  <c r="M57" i="31" a="1"/>
  <c r="M57" i="31" s="1"/>
  <c r="M106" i="31" a="1"/>
  <c r="M106" i="31" s="1"/>
  <c r="M105" i="31" a="1"/>
  <c r="M105" i="31" s="1"/>
  <c r="M44" i="31" a="1"/>
  <c r="M44" i="31" s="1"/>
  <c r="M129" i="31" a="1"/>
  <c r="M129" i="31" s="1"/>
  <c r="M127" i="31" a="1"/>
  <c r="M127" i="31" s="1"/>
  <c r="M124" i="31" a="1"/>
  <c r="M124" i="31" s="1"/>
  <c r="M45" i="31" a="1"/>
  <c r="M45" i="31" s="1"/>
  <c r="M94" i="31" a="1"/>
  <c r="M94" i="31" s="1"/>
  <c r="M43" i="31" a="1"/>
  <c r="M43" i="31" s="1"/>
  <c r="M24" i="31" a="1"/>
  <c r="M24" i="31" s="1"/>
  <c r="M60" i="31" a="1"/>
  <c r="M60" i="31" s="1"/>
  <c r="M97" i="31" a="1"/>
  <c r="M97" i="31" s="1"/>
  <c r="M96" i="31" a="1"/>
  <c r="M96" i="31" s="1"/>
  <c r="M62" i="31" a="1"/>
  <c r="M62" i="31" s="1"/>
  <c r="M99" i="31" a="1"/>
  <c r="M99" i="31" s="1"/>
  <c r="M13" i="31" a="1"/>
  <c r="M13" i="31" s="1"/>
  <c r="M31" i="31" a="1"/>
  <c r="M31" i="31" s="1"/>
  <c r="M100" i="31" a="1"/>
  <c r="M100" i="31" s="1"/>
  <c r="M103" i="31" a="1"/>
  <c r="M103" i="31" s="1"/>
  <c r="M65" i="31" a="1"/>
  <c r="M65" i="31" s="1"/>
  <c r="M126" i="31" a="1"/>
  <c r="M126" i="31" s="1"/>
  <c r="M92" i="31" a="1"/>
  <c r="M92" i="31" s="1"/>
  <c r="M89" i="31" a="1"/>
  <c r="M89" i="31" s="1"/>
  <c r="M34" i="31" a="1"/>
  <c r="M34" i="31" s="1"/>
  <c r="M15" i="31" a="1"/>
  <c r="M15" i="31" s="1"/>
  <c r="I81" i="31" a="1"/>
  <c r="I81" i="31" s="1"/>
  <c r="BF12" i="31" l="1"/>
  <c r="BF17" i="31"/>
  <c r="BF13" i="31"/>
  <c r="BF4" i="31"/>
  <c r="BF18" i="31"/>
  <c r="BF6" i="31"/>
  <c r="BF10" i="31"/>
  <c r="BF14" i="31"/>
  <c r="BF8" i="31"/>
  <c r="BF5" i="31" l="1"/>
  <c r="BF7" i="31" s="1"/>
  <c r="BF16" i="31"/>
  <c r="BF19" i="31" s="1"/>
  <c r="BF9" i="31"/>
  <c r="BF11" i="31" s="1"/>
  <c r="BF15" i="31"/>
  <c r="BF20" i="31" l="1"/>
  <c r="Q131" i="31" l="1" a="1"/>
  <c r="Q131" i="31" s="1"/>
  <c r="Q70" i="31" a="1"/>
  <c r="Q70" i="31" s="1"/>
  <c r="Q34" i="31" a="1"/>
  <c r="Q34" i="31" s="1"/>
  <c r="Q126" i="31" a="1"/>
  <c r="Q126" i="31" s="1"/>
  <c r="Q89" i="31" a="1"/>
  <c r="Q89" i="31" s="1"/>
  <c r="Q49" i="31" a="1"/>
  <c r="Q49" i="31" s="1"/>
  <c r="Q26" i="31" a="1"/>
  <c r="Q26" i="31" s="1"/>
  <c r="Q111" i="31" a="1"/>
  <c r="Q111" i="31" s="1"/>
  <c r="Q117" i="31" a="1"/>
  <c r="Q117" i="31" s="1"/>
  <c r="Q110" i="31" a="1"/>
  <c r="Q110" i="31" s="1"/>
  <c r="Q47" i="31" a="1"/>
  <c r="Q47" i="31" s="1"/>
  <c r="Q84" i="31" a="1"/>
  <c r="Q84" i="31" s="1"/>
  <c r="Q100" i="31" a="1"/>
  <c r="Q100" i="31" s="1"/>
  <c r="Q20" i="31" a="1"/>
  <c r="Q20" i="31" s="1"/>
  <c r="Q64" i="31" a="1"/>
  <c r="Q64" i="31" s="1"/>
  <c r="Q128" i="31" a="1"/>
  <c r="Q128" i="31" s="1"/>
  <c r="Q121" i="31" a="1"/>
  <c r="Q121" i="31" s="1"/>
  <c r="Q67" i="31" a="1"/>
  <c r="Q67" i="31" s="1"/>
  <c r="Q98" i="31" a="1"/>
  <c r="Q98" i="31" s="1"/>
  <c r="Q75" i="31" a="1"/>
  <c r="Q75" i="31" s="1"/>
  <c r="Q9" i="31" a="1"/>
  <c r="Q9" i="31" s="1"/>
  <c r="Q41" i="31" a="1"/>
  <c r="Q41" i="31" s="1"/>
  <c r="Q69" i="31" a="1"/>
  <c r="Q69" i="31" s="1"/>
  <c r="Q52" i="31" a="1"/>
  <c r="Q52" i="31" s="1"/>
  <c r="Q23" i="31" a="1"/>
  <c r="Q23" i="31" s="1"/>
  <c r="Q90" i="31" a="1"/>
  <c r="Q90" i="31" s="1"/>
  <c r="Q94" i="31" a="1"/>
  <c r="Q94" i="31" s="1"/>
  <c r="Q50" i="31" a="1"/>
  <c r="Q50" i="31" s="1"/>
  <c r="Q95" i="31" a="1"/>
  <c r="Q95" i="31" s="1"/>
  <c r="Q122" i="31" a="1"/>
  <c r="Q122" i="31" s="1"/>
  <c r="Q105" i="31" a="1"/>
  <c r="Q105" i="31" s="1"/>
  <c r="Q39" i="31" a="1"/>
  <c r="Q39" i="31" s="1"/>
  <c r="P72" i="31" a="1"/>
  <c r="P72" i="31" s="1"/>
  <c r="P47" i="31" a="1"/>
  <c r="P47" i="31" s="1"/>
  <c r="P124" i="31" a="1"/>
  <c r="P124" i="31" s="1"/>
  <c r="P99" i="31" a="1"/>
  <c r="P99" i="31" s="1"/>
  <c r="P33" i="31" a="1"/>
  <c r="P33" i="31" s="1"/>
  <c r="P18" i="31" a="1"/>
  <c r="P18" i="31" s="1"/>
  <c r="P56" i="31" a="1"/>
  <c r="P56" i="31" s="1"/>
  <c r="P39" i="31" a="1"/>
  <c r="P39" i="31" s="1"/>
  <c r="P32" i="31" a="1"/>
  <c r="P32" i="31" s="1"/>
  <c r="P115" i="31" a="1"/>
  <c r="P115" i="31" s="1"/>
  <c r="P87" i="31" a="1"/>
  <c r="P87" i="31" s="1"/>
  <c r="P29" i="31" a="1"/>
  <c r="P29" i="31" s="1"/>
  <c r="P14" i="31" a="1"/>
  <c r="P14" i="31" s="1"/>
  <c r="P101" i="31" a="1"/>
  <c r="P101" i="31" s="1"/>
  <c r="P90" i="31" a="1"/>
  <c r="P90" i="31" s="1"/>
  <c r="P28" i="31" a="1"/>
  <c r="P28" i="31" s="1"/>
  <c r="P95" i="31" a="1"/>
  <c r="P95" i="31" s="1"/>
  <c r="P51" i="31" a="1"/>
  <c r="P51" i="31" s="1"/>
  <c r="P34" i="31" a="1"/>
  <c r="P34" i="31" s="1"/>
  <c r="P123" i="31" a="1"/>
  <c r="P123" i="31" s="1"/>
  <c r="P92" i="31" a="1"/>
  <c r="P92" i="31" s="1"/>
  <c r="P73" i="31" a="1"/>
  <c r="P73" i="31" s="1"/>
  <c r="P23" i="31" a="1"/>
  <c r="P23" i="31" s="1"/>
  <c r="P102" i="31" a="1"/>
  <c r="P102" i="31" s="1"/>
  <c r="P21" i="31" a="1"/>
  <c r="P21" i="31" s="1"/>
  <c r="P93" i="31" a="1"/>
  <c r="P93" i="31" s="1"/>
  <c r="P85" i="31" a="1"/>
  <c r="P85" i="31" s="1"/>
  <c r="P52" i="31" a="1"/>
  <c r="P52" i="31" s="1"/>
  <c r="P74" i="31" a="1"/>
  <c r="P74" i="31" s="1"/>
  <c r="P53" i="31" a="1"/>
  <c r="P53" i="31" s="1"/>
  <c r="P77" i="31" a="1"/>
  <c r="P77" i="31" s="1"/>
  <c r="P20" i="31" a="1"/>
  <c r="P20" i="31" s="1"/>
  <c r="P119" i="31" a="1"/>
  <c r="P119" i="31" s="1"/>
  <c r="P41" i="31" a="1"/>
  <c r="P41" i="31" s="1"/>
  <c r="P17" i="31" a="1"/>
  <c r="P17" i="31" s="1"/>
  <c r="P107" i="31" a="1"/>
  <c r="P107" i="31" s="1"/>
  <c r="P96" i="31" a="1"/>
  <c r="P96" i="31" s="1"/>
  <c r="P65" i="31" a="1"/>
  <c r="P65" i="31" s="1"/>
  <c r="P16" i="31" a="1"/>
  <c r="P16" i="31" s="1"/>
  <c r="P117" i="31" a="1"/>
  <c r="P117" i="31" s="1"/>
  <c r="P67" i="31" a="1"/>
  <c r="P67" i="31" s="1"/>
  <c r="P13" i="31" a="1"/>
  <c r="P13" i="31" s="1"/>
  <c r="P103" i="31" a="1"/>
  <c r="P103" i="31" s="1"/>
  <c r="P78" i="31" a="1"/>
  <c r="P78" i="31" s="1"/>
  <c r="P60" i="31" a="1"/>
  <c r="P60" i="31" s="1"/>
  <c r="P12" i="31" a="1"/>
  <c r="P12" i="31" s="1"/>
  <c r="P84" i="31" a="1"/>
  <c r="P84" i="31" s="1"/>
  <c r="P88" i="31" a="1"/>
  <c r="P88" i="31" s="1"/>
  <c r="P26" i="31" a="1"/>
  <c r="P26" i="31" s="1"/>
  <c r="P120" i="31" a="1"/>
  <c r="P120" i="31" s="1"/>
  <c r="P61" i="31" a="1"/>
  <c r="P61" i="31" s="1"/>
  <c r="P128" i="31" a="1"/>
  <c r="P128" i="31" s="1"/>
  <c r="P63" i="31" a="1"/>
  <c r="P63" i="31" s="1"/>
  <c r="P46" i="31" a="1"/>
  <c r="P46" i="31" s="1"/>
  <c r="P112" i="31" a="1"/>
  <c r="P112" i="31" s="1"/>
  <c r="P127" i="31" a="1"/>
  <c r="P127" i="31" s="1"/>
  <c r="P58" i="31" a="1"/>
  <c r="P58" i="31" s="1"/>
  <c r="P57" i="31" a="1"/>
  <c r="P57" i="31" s="1"/>
  <c r="P94" i="31" a="1"/>
  <c r="P94" i="31" s="1"/>
  <c r="P89" i="31" a="1"/>
  <c r="P89" i="31" s="1"/>
  <c r="P31" i="31" a="1"/>
  <c r="P31" i="31" s="1"/>
  <c r="P121" i="31" a="1"/>
  <c r="P121" i="31" s="1"/>
  <c r="P130" i="31" a="1"/>
  <c r="P130" i="31" s="1"/>
  <c r="P98" i="31" a="1"/>
  <c r="P98" i="31" s="1"/>
  <c r="P40" i="31" a="1"/>
  <c r="P40" i="31" s="1"/>
  <c r="P129" i="31" a="1"/>
  <c r="P129" i="31" s="1"/>
  <c r="P71" i="31" a="1"/>
  <c r="P71" i="31" s="1"/>
  <c r="P27" i="31" a="1"/>
  <c r="P27" i="31" s="1"/>
  <c r="P114" i="31" a="1"/>
  <c r="P114" i="31" s="1"/>
  <c r="P75" i="31" a="1"/>
  <c r="P75" i="31" s="1"/>
  <c r="P25" i="31" a="1"/>
  <c r="P25" i="31" s="1"/>
  <c r="P10" i="31" a="1"/>
  <c r="P10" i="31" s="1"/>
  <c r="P106" i="31" a="1"/>
  <c r="P106" i="31" s="1"/>
  <c r="P131" i="31" a="1"/>
  <c r="P131" i="31" s="1"/>
  <c r="P48" i="31" a="1"/>
  <c r="P48" i="31" s="1"/>
  <c r="P24" i="31" a="1"/>
  <c r="P24" i="31" s="1"/>
  <c r="P54" i="31" a="1"/>
  <c r="P54" i="31" s="1"/>
  <c r="P80" i="31" a="1"/>
  <c r="P80" i="31" s="1"/>
  <c r="P22" i="31" a="1"/>
  <c r="P22" i="31" s="1"/>
  <c r="P118" i="31" a="1"/>
  <c r="P118" i="31" s="1"/>
  <c r="P108" i="31" a="1"/>
  <c r="P108" i="31" s="1"/>
  <c r="P113" i="31" a="1"/>
  <c r="P113" i="31" s="1"/>
  <c r="P76" i="31" a="1"/>
  <c r="P76" i="31" s="1"/>
  <c r="P19" i="31" a="1"/>
  <c r="P19" i="31" s="1"/>
  <c r="P125" i="31" a="1"/>
  <c r="P125" i="31" s="1"/>
  <c r="P86" i="31" a="1"/>
  <c r="P86" i="31" s="1"/>
  <c r="P70" i="31" a="1"/>
  <c r="P70" i="31" s="1"/>
  <c r="P45" i="31" a="1"/>
  <c r="P45" i="31" s="1"/>
  <c r="P109" i="31" a="1"/>
  <c r="P109" i="31" s="1"/>
  <c r="P79" i="31" a="1"/>
  <c r="P79" i="31" s="1"/>
  <c r="P15" i="31" a="1"/>
  <c r="P15" i="31" s="1"/>
  <c r="P104" i="31" a="1"/>
  <c r="P104" i="31" s="1"/>
  <c r="P55" i="31" a="1"/>
  <c r="P55" i="31" s="1"/>
  <c r="P62" i="31" a="1"/>
  <c r="P62" i="31" s="1"/>
  <c r="P30" i="31" a="1"/>
  <c r="P30" i="31" s="1"/>
  <c r="P126" i="31" a="1"/>
  <c r="P126" i="31" s="1"/>
  <c r="P64" i="31" a="1"/>
  <c r="P64" i="31" s="1"/>
  <c r="P11" i="31" a="1"/>
  <c r="P11" i="31" s="1"/>
  <c r="P111" i="31" a="1"/>
  <c r="P111" i="31" s="1"/>
  <c r="P69" i="31" a="1"/>
  <c r="P69" i="31" s="1"/>
  <c r="P9" i="31" a="1"/>
  <c r="P9" i="31" s="1"/>
  <c r="P110" i="31" a="1"/>
  <c r="P110" i="31" s="1"/>
  <c r="P122" i="31" a="1"/>
  <c r="P122" i="31" s="1"/>
  <c r="P68" i="31" a="1"/>
  <c r="P68" i="31" s="1"/>
  <c r="P35" i="31" a="1"/>
  <c r="P35" i="31" s="1"/>
  <c r="P105" i="31" a="1"/>
  <c r="P105" i="31" s="1"/>
  <c r="P66" i="31" a="1"/>
  <c r="P66" i="31" s="1"/>
  <c r="P49" i="31" a="1"/>
  <c r="P49" i="31" s="1"/>
  <c r="P100" i="31" a="1"/>
  <c r="P100" i="31" s="1"/>
  <c r="P97" i="31" a="1"/>
  <c r="P97" i="31" s="1"/>
  <c r="P91" i="31" a="1"/>
  <c r="P91" i="31" s="1"/>
  <c r="P59" i="31" a="1"/>
  <c r="P59" i="31" s="1"/>
  <c r="P116" i="31" a="1"/>
  <c r="P116" i="31" s="1"/>
  <c r="P50" i="31" a="1"/>
  <c r="P50" i="31" s="1"/>
  <c r="P7" i="31" a="1"/>
  <c r="P7" i="31" s="1"/>
  <c r="S10" i="31" a="1"/>
  <c r="S10" i="31" s="1"/>
  <c r="S98" i="31" a="1"/>
  <c r="S98" i="31" s="1"/>
  <c r="S124" i="31" a="1"/>
  <c r="S124" i="31" s="1"/>
  <c r="S78" i="31" a="1"/>
  <c r="S78" i="31" s="1"/>
  <c r="S31" i="31" a="1"/>
  <c r="S31" i="31" s="1"/>
  <c r="S114" i="31" a="1"/>
  <c r="S114" i="31" s="1"/>
  <c r="S97" i="31" a="1"/>
  <c r="S97" i="31" s="1"/>
  <c r="S75" i="31" a="1"/>
  <c r="S75" i="31" s="1"/>
  <c r="S29" i="31" a="1"/>
  <c r="S29" i="31" s="1"/>
  <c r="S30" i="31" a="1"/>
  <c r="S30" i="31" s="1"/>
  <c r="S50" i="31" a="1"/>
  <c r="S50" i="31" s="1"/>
  <c r="S11" i="31" a="1"/>
  <c r="S11" i="31" s="1"/>
  <c r="S107" i="31" a="1"/>
  <c r="S107" i="31" s="1"/>
  <c r="S126" i="31" a="1"/>
  <c r="S126" i="31" s="1"/>
  <c r="S64" i="31" a="1"/>
  <c r="S64" i="31" s="1"/>
  <c r="S77" i="31" a="1"/>
  <c r="S77" i="31" s="1"/>
  <c r="S89" i="31" a="1"/>
  <c r="S89" i="31" s="1"/>
  <c r="S52" i="31" a="1"/>
  <c r="S52" i="31" s="1"/>
  <c r="S53" i="31" a="1"/>
  <c r="S53" i="31" s="1"/>
  <c r="S116" i="31" a="1"/>
  <c r="S116" i="31" s="1"/>
  <c r="S48" i="31" a="1"/>
  <c r="S48" i="31" s="1"/>
  <c r="S130" i="31" a="1"/>
  <c r="S130" i="31" s="1"/>
  <c r="S100" i="31" a="1"/>
  <c r="S100" i="31" s="1"/>
  <c r="S71" i="31" a="1"/>
  <c r="S71" i="31" s="1"/>
  <c r="S90" i="31" a="1"/>
  <c r="S90" i="31" s="1"/>
  <c r="S49" i="31" a="1"/>
  <c r="S49" i="31" s="1"/>
  <c r="S39" i="31" a="1"/>
  <c r="S39" i="31" s="1"/>
  <c r="S105" i="31" a="1"/>
  <c r="S105" i="31" s="1"/>
  <c r="S127" i="31" a="1"/>
  <c r="S127" i="31" s="1"/>
  <c r="S40" i="31" a="1"/>
  <c r="S40" i="31" s="1"/>
  <c r="S15" i="31" a="1"/>
  <c r="S15" i="31" s="1"/>
  <c r="S109" i="31" a="1"/>
  <c r="S109" i="31" s="1"/>
  <c r="S84" i="31" a="1"/>
  <c r="S84" i="31" s="1"/>
  <c r="S22" i="31" a="1"/>
  <c r="S22" i="31" s="1"/>
  <c r="S13" i="31" a="1"/>
  <c r="S13" i="31" s="1"/>
  <c r="S57" i="31" a="1"/>
  <c r="S57" i="31" s="1"/>
  <c r="S66" i="31" a="1"/>
  <c r="S66" i="31" s="1"/>
  <c r="S108" i="31" a="1"/>
  <c r="S108" i="31" s="1"/>
  <c r="S112" i="31" a="1"/>
  <c r="S112" i="31" s="1"/>
  <c r="S87" i="31" a="1"/>
  <c r="S87" i="31" s="1"/>
  <c r="S26" i="31" a="1"/>
  <c r="S26" i="31" s="1"/>
  <c r="S73" i="31" a="1"/>
  <c r="S73" i="31" s="1"/>
  <c r="S85" i="31" a="1"/>
  <c r="S85" i="31" s="1"/>
  <c r="S63" i="31" a="1"/>
  <c r="S63" i="31" s="1"/>
  <c r="S25" i="31" a="1"/>
  <c r="S25" i="31" s="1"/>
  <c r="S54" i="31" a="1"/>
  <c r="S54" i="31" s="1"/>
  <c r="S51" i="31" a="1"/>
  <c r="S51" i="31" s="1"/>
  <c r="S125" i="31" a="1"/>
  <c r="S125" i="31" s="1"/>
  <c r="S101" i="31" a="1"/>
  <c r="S101" i="31" s="1"/>
  <c r="S14" i="31" a="1"/>
  <c r="S14" i="31" s="1"/>
  <c r="S106" i="31" a="1"/>
  <c r="S106" i="31" s="1"/>
  <c r="S33" i="31" a="1"/>
  <c r="S33" i="31" s="1"/>
  <c r="S110" i="31" a="1"/>
  <c r="S110" i="31" s="1"/>
  <c r="S61" i="31" a="1"/>
  <c r="S61" i="31" s="1"/>
  <c r="S24" i="31" a="1"/>
  <c r="S24" i="31" s="1"/>
  <c r="S117" i="31" a="1"/>
  <c r="S117" i="31" s="1"/>
  <c r="S99" i="31" a="1"/>
  <c r="S99" i="31" s="1"/>
  <c r="S67" i="31" a="1"/>
  <c r="S67" i="31" s="1"/>
  <c r="S55" i="31" a="1"/>
  <c r="S55" i="31" s="1"/>
  <c r="S113" i="31" a="1"/>
  <c r="S113" i="31" s="1"/>
  <c r="S47" i="31" a="1"/>
  <c r="S47" i="31" s="1"/>
  <c r="S34" i="31" a="1"/>
  <c r="S34" i="31" s="1"/>
  <c r="S128" i="31" a="1"/>
  <c r="S128" i="31" s="1"/>
  <c r="S131" i="31" a="1"/>
  <c r="S131" i="31" s="1"/>
  <c r="S86" i="31" a="1"/>
  <c r="S86" i="31" s="1"/>
  <c r="S62" i="31" a="1"/>
  <c r="S62" i="31" s="1"/>
  <c r="S20" i="31" a="1"/>
  <c r="S20" i="31" s="1"/>
  <c r="S45" i="31" a="1"/>
  <c r="S45" i="31" s="1"/>
  <c r="S18" i="31" a="1"/>
  <c r="S18" i="31" s="1"/>
  <c r="S9" i="31" a="1"/>
  <c r="S9" i="31" s="1"/>
  <c r="S32" i="31" a="1"/>
  <c r="S32" i="31" s="1"/>
  <c r="S23" i="31" a="1"/>
  <c r="S23" i="31" s="1"/>
  <c r="S103" i="31" a="1"/>
  <c r="S103" i="31" s="1"/>
  <c r="S74" i="31" a="1"/>
  <c r="S74" i="31" s="1"/>
  <c r="S17" i="31" a="1"/>
  <c r="S17" i="31" s="1"/>
  <c r="S129" i="31" a="1"/>
  <c r="S129" i="31" s="1"/>
  <c r="S91" i="31" a="1"/>
  <c r="S91" i="31" s="1"/>
  <c r="S35" i="31" a="1"/>
  <c r="S35" i="31" s="1"/>
  <c r="S119" i="31" a="1"/>
  <c r="S119" i="31" s="1"/>
  <c r="S65" i="31" a="1"/>
  <c r="S65" i="31" s="1"/>
  <c r="S80" i="31" a="1"/>
  <c r="S80" i="31" s="1"/>
  <c r="S59" i="31" a="1"/>
  <c r="S59" i="31" s="1"/>
  <c r="S60" i="31" a="1"/>
  <c r="S60" i="31" s="1"/>
  <c r="S94" i="31" a="1"/>
  <c r="S94" i="31" s="1"/>
  <c r="S27" i="31" a="1"/>
  <c r="S27" i="31" s="1"/>
  <c r="S95" i="31" a="1"/>
  <c r="S95" i="31" s="1"/>
  <c r="S104" i="31" a="1"/>
  <c r="S104" i="31" s="1"/>
  <c r="S21" i="31" a="1"/>
  <c r="S21" i="31" s="1"/>
  <c r="S92" i="31" a="1"/>
  <c r="S92" i="31" s="1"/>
  <c r="S56" i="31" a="1"/>
  <c r="S56" i="31" s="1"/>
  <c r="S70" i="31" a="1"/>
  <c r="S70" i="31" s="1"/>
  <c r="S58" i="31" a="1"/>
  <c r="S58" i="31" s="1"/>
  <c r="S123" i="31" a="1"/>
  <c r="S123" i="31" s="1"/>
  <c r="S16" i="31" a="1"/>
  <c r="S16" i="31" s="1"/>
  <c r="S115" i="31" a="1"/>
  <c r="S115" i="31" s="1"/>
  <c r="S88" i="31" a="1"/>
  <c r="S88" i="31" s="1"/>
  <c r="S122" i="31" a="1"/>
  <c r="S122" i="31" s="1"/>
  <c r="S93" i="31" a="1"/>
  <c r="S93" i="31" s="1"/>
  <c r="S79" i="31" a="1"/>
  <c r="S79" i="31" s="1"/>
  <c r="S72" i="31" a="1"/>
  <c r="S72" i="31" s="1"/>
  <c r="S12" i="31" a="1"/>
  <c r="S12" i="31" s="1"/>
  <c r="S111" i="31" a="1"/>
  <c r="S111" i="31" s="1"/>
  <c r="S76" i="31" a="1"/>
  <c r="S76" i="31" s="1"/>
  <c r="S118" i="31" a="1"/>
  <c r="S118" i="31" s="1"/>
  <c r="S102" i="31" a="1"/>
  <c r="S102" i="31" s="1"/>
  <c r="S41" i="31" a="1"/>
  <c r="S41" i="31" s="1"/>
  <c r="S68" i="31" a="1"/>
  <c r="S68" i="31" s="1"/>
  <c r="S120" i="31" a="1"/>
  <c r="S120" i="31" s="1"/>
  <c r="S46" i="31" a="1"/>
  <c r="S46" i="31" s="1"/>
  <c r="S121" i="31" a="1"/>
  <c r="S121" i="31" s="1"/>
  <c r="S96" i="31" a="1"/>
  <c r="S96" i="31" s="1"/>
  <c r="S69" i="31" a="1"/>
  <c r="S69" i="31" s="1"/>
  <c r="S19" i="31" a="1"/>
  <c r="S19" i="31" s="1"/>
  <c r="S28" i="31" a="1"/>
  <c r="S28" i="31" s="1"/>
  <c r="P36" i="31" a="1"/>
  <c r="P36" i="31" s="1"/>
  <c r="R6" i="31" a="1"/>
  <c r="R6" i="31" s="1"/>
  <c r="R38" i="31" a="1"/>
  <c r="R38" i="31" s="1"/>
  <c r="R81" i="31" a="1"/>
  <c r="R81" i="31" s="1"/>
  <c r="R117" i="31" a="1"/>
  <c r="R117" i="31" s="1"/>
  <c r="R97" i="31" a="1"/>
  <c r="R97" i="31" s="1"/>
  <c r="R21" i="31" a="1"/>
  <c r="R21" i="31" s="1"/>
  <c r="R107" i="31" a="1"/>
  <c r="R107" i="31" s="1"/>
  <c r="R74" i="31" a="1"/>
  <c r="R74" i="31" s="1"/>
  <c r="R40" i="31" a="1"/>
  <c r="R40" i="31" s="1"/>
  <c r="R108" i="31" a="1"/>
  <c r="R108" i="31" s="1"/>
  <c r="R85" i="31" a="1"/>
  <c r="R85" i="31" s="1"/>
  <c r="R33" i="31" a="1"/>
  <c r="R33" i="31" s="1"/>
  <c r="R103" i="31" a="1"/>
  <c r="R103" i="31" s="1"/>
  <c r="R120" i="31" a="1"/>
  <c r="R120" i="31" s="1"/>
  <c r="R115" i="31" a="1"/>
  <c r="R115" i="31" s="1"/>
  <c r="R46" i="31" a="1"/>
  <c r="R46" i="31" s="1"/>
  <c r="R34" i="31" a="1"/>
  <c r="R34" i="31" s="1"/>
  <c r="R110" i="31" a="1"/>
  <c r="R110" i="31" s="1"/>
  <c r="R79" i="31" a="1"/>
  <c r="R79" i="31" s="1"/>
  <c r="R13" i="31" a="1"/>
  <c r="R13" i="31" s="1"/>
  <c r="R39" i="31" a="1"/>
  <c r="R39" i="31" s="1"/>
  <c r="R78" i="31" a="1"/>
  <c r="R78" i="31" s="1"/>
  <c r="R93" i="31" a="1"/>
  <c r="R93" i="31" s="1"/>
  <c r="R52" i="31" a="1"/>
  <c r="R52" i="31" s="1"/>
  <c r="R105" i="31" a="1"/>
  <c r="R105" i="31" s="1"/>
  <c r="R64" i="31" a="1"/>
  <c r="R64" i="31" s="1"/>
  <c r="R22" i="31" a="1"/>
  <c r="R22" i="31" s="1"/>
  <c r="R101" i="31" a="1"/>
  <c r="R101" i="31" s="1"/>
  <c r="R25" i="31" a="1"/>
  <c r="R25" i="31" s="1"/>
  <c r="R80" i="31" a="1"/>
  <c r="R80" i="31" s="1"/>
  <c r="R47" i="31" a="1"/>
  <c r="R47" i="31" s="1"/>
  <c r="R104" i="31" a="1"/>
  <c r="R104" i="31" s="1"/>
  <c r="R51" i="31" a="1"/>
  <c r="R51" i="31" s="1"/>
  <c r="R45" i="31" a="1"/>
  <c r="R45" i="31" s="1"/>
  <c r="R102" i="31" a="1"/>
  <c r="R102" i="31" s="1"/>
  <c r="R70" i="31" a="1"/>
  <c r="R70" i="31" s="1"/>
  <c r="R32" i="31" a="1"/>
  <c r="R32" i="31" s="1"/>
  <c r="R129" i="31" a="1"/>
  <c r="R129" i="31" s="1"/>
  <c r="R72" i="31" a="1"/>
  <c r="R72" i="31" s="1"/>
  <c r="R17" i="31" a="1"/>
  <c r="R17" i="31" s="1"/>
  <c r="R125" i="31" a="1"/>
  <c r="R125" i="31" s="1"/>
  <c r="R106" i="31" a="1"/>
  <c r="R106" i="31" s="1"/>
  <c r="R69" i="31" a="1"/>
  <c r="R69" i="31" s="1"/>
  <c r="R84" i="31" a="1"/>
  <c r="R84" i="31" s="1"/>
  <c r="R28" i="31" a="1"/>
  <c r="R28" i="31" s="1"/>
  <c r="R116" i="31" a="1"/>
  <c r="R116" i="31" s="1"/>
  <c r="R62" i="31" a="1"/>
  <c r="R62" i="31" s="1"/>
  <c r="R54" i="31" a="1"/>
  <c r="R54" i="31" s="1"/>
  <c r="R119" i="31" a="1"/>
  <c r="R119" i="31" s="1"/>
  <c r="R71" i="31" a="1"/>
  <c r="R71" i="31" s="1"/>
  <c r="R66" i="31" a="1"/>
  <c r="R66" i="31" s="1"/>
  <c r="R24" i="31" a="1"/>
  <c r="R24" i="31" s="1"/>
  <c r="R127" i="31" a="1"/>
  <c r="R127" i="31" s="1"/>
  <c r="R55" i="31" a="1"/>
  <c r="R55" i="31" s="1"/>
  <c r="R130" i="31" a="1"/>
  <c r="R130" i="31" s="1"/>
  <c r="R96" i="31" a="1"/>
  <c r="R96" i="31" s="1"/>
  <c r="R73" i="31" a="1"/>
  <c r="R73" i="31" s="1"/>
  <c r="R68" i="31" a="1"/>
  <c r="R68" i="31" s="1"/>
  <c r="R20" i="31" a="1"/>
  <c r="R20" i="31" s="1"/>
  <c r="R92" i="31" a="1"/>
  <c r="R92" i="31" s="1"/>
  <c r="R113" i="31" a="1"/>
  <c r="R113" i="31" s="1"/>
  <c r="R88" i="31" a="1"/>
  <c r="R88" i="31" s="1"/>
  <c r="R77" i="31" a="1"/>
  <c r="R77" i="31" s="1"/>
  <c r="R18" i="31" a="1"/>
  <c r="R18" i="31" s="1"/>
  <c r="R59" i="31" a="1"/>
  <c r="R59" i="31" s="1"/>
  <c r="R56" i="31" a="1"/>
  <c r="R56" i="31" s="1"/>
  <c r="R16" i="31" a="1"/>
  <c r="R16" i="31" s="1"/>
  <c r="R75" i="31" a="1"/>
  <c r="R75" i="31" s="1"/>
  <c r="R60" i="31" a="1"/>
  <c r="R60" i="31" s="1"/>
  <c r="R30" i="31" a="1"/>
  <c r="R30" i="31" s="1"/>
  <c r="R100" i="31" a="1"/>
  <c r="R100" i="31" s="1"/>
  <c r="R111" i="31" a="1"/>
  <c r="R111" i="31" s="1"/>
  <c r="R89" i="31" a="1"/>
  <c r="R89" i="31" s="1"/>
  <c r="R31" i="31" a="1"/>
  <c r="R31" i="31" s="1"/>
  <c r="R12" i="31" a="1"/>
  <c r="R12" i="31" s="1"/>
  <c r="R131" i="31" a="1"/>
  <c r="R131" i="31" s="1"/>
  <c r="R95" i="31" a="1"/>
  <c r="R95" i="31" s="1"/>
  <c r="R26" i="31" a="1"/>
  <c r="R26" i="31" s="1"/>
  <c r="R98" i="31" a="1"/>
  <c r="R98" i="31" s="1"/>
  <c r="R76" i="31" a="1"/>
  <c r="R76" i="31" s="1"/>
  <c r="R27" i="31" a="1"/>
  <c r="R27" i="31" s="1"/>
  <c r="R35" i="31" a="1"/>
  <c r="R35" i="31" s="1"/>
  <c r="R126" i="31" a="1"/>
  <c r="R126" i="31" s="1"/>
  <c r="R9" i="31" a="1"/>
  <c r="R9" i="31" s="1"/>
  <c r="R112" i="31" a="1"/>
  <c r="R112" i="31" s="1"/>
  <c r="R128" i="31" a="1"/>
  <c r="R128" i="31" s="1"/>
  <c r="R61" i="31" a="1"/>
  <c r="R61" i="31" s="1"/>
  <c r="R53" i="31" a="1"/>
  <c r="R53" i="31" s="1"/>
  <c r="R123" i="31" a="1"/>
  <c r="R123" i="31" s="1"/>
  <c r="R63" i="31" a="1"/>
  <c r="R63" i="31" s="1"/>
  <c r="R57" i="31" a="1"/>
  <c r="R57" i="31" s="1"/>
  <c r="R48" i="31" a="1"/>
  <c r="R48" i="31" s="1"/>
  <c r="R94" i="31" a="1"/>
  <c r="R94" i="31" s="1"/>
  <c r="R19" i="31" a="1"/>
  <c r="R19" i="31" s="1"/>
  <c r="R58" i="31" a="1"/>
  <c r="R58" i="31" s="1"/>
  <c r="R91" i="31" a="1"/>
  <c r="R91" i="31" s="1"/>
  <c r="R49" i="31" a="1"/>
  <c r="R49" i="31" s="1"/>
  <c r="R14" i="31" a="1"/>
  <c r="R14" i="31" s="1"/>
  <c r="R109" i="31" a="1"/>
  <c r="R109" i="31" s="1"/>
  <c r="R122" i="31" a="1"/>
  <c r="R122" i="31" s="1"/>
  <c r="R65" i="31" a="1"/>
  <c r="R65" i="31" s="1"/>
  <c r="R15" i="31" a="1"/>
  <c r="R15" i="31" s="1"/>
  <c r="R41" i="31" a="1"/>
  <c r="R41" i="31" s="1"/>
  <c r="R87" i="31" a="1"/>
  <c r="R87" i="31" s="1"/>
  <c r="R29" i="31" a="1"/>
  <c r="R29" i="31" s="1"/>
  <c r="R10" i="31" a="1"/>
  <c r="R10" i="31" s="1"/>
  <c r="R121" i="31" a="1"/>
  <c r="R121" i="31" s="1"/>
  <c r="R90" i="31" a="1"/>
  <c r="R90" i="31" s="1"/>
  <c r="R11" i="31" a="1"/>
  <c r="R11" i="31" s="1"/>
  <c r="R99" i="31" a="1"/>
  <c r="R99" i="31" s="1"/>
  <c r="R124" i="31" a="1"/>
  <c r="R124" i="31" s="1"/>
  <c r="R50" i="31" a="1"/>
  <c r="R50" i="31" s="1"/>
  <c r="R114" i="31" a="1"/>
  <c r="R114" i="31" s="1"/>
  <c r="R86" i="31" a="1"/>
  <c r="R86" i="31" s="1"/>
  <c r="R67" i="31" a="1"/>
  <c r="R67" i="31" s="1"/>
  <c r="R23" i="31" a="1"/>
  <c r="R23" i="31" s="1"/>
  <c r="R118" i="31" a="1"/>
  <c r="R118" i="31" s="1"/>
  <c r="Q38" i="31" a="1"/>
  <c r="Q38" i="31" s="1"/>
  <c r="P6" i="31" a="1"/>
  <c r="P6" i="31" s="1"/>
  <c r="P8" i="31" a="1"/>
  <c r="P8" i="31" s="1"/>
  <c r="P38" i="31" a="1"/>
  <c r="P38" i="31" s="1"/>
  <c r="R36" i="31" a="1"/>
  <c r="R36" i="31" s="1"/>
  <c r="P42" i="31" a="1"/>
  <c r="P42" i="31" s="1"/>
  <c r="R42" i="31" a="1"/>
  <c r="R42" i="31" s="1"/>
  <c r="S81" i="31" a="1"/>
  <c r="S81" i="31" s="1"/>
  <c r="Q7" i="31" a="1"/>
  <c r="Q7" i="31" s="1"/>
  <c r="S82" i="31" a="1"/>
  <c r="S82" i="31" s="1"/>
  <c r="R83" i="31" a="1"/>
  <c r="R83" i="31" s="1"/>
  <c r="P82" i="31" a="1"/>
  <c r="P82" i="31" s="1"/>
  <c r="S36" i="31" a="1"/>
  <c r="S36" i="31" s="1"/>
  <c r="S44" i="31" a="1"/>
  <c r="S44" i="31" s="1"/>
  <c r="P44" i="31" a="1"/>
  <c r="P44" i="31" s="1"/>
  <c r="Q42" i="31" a="1"/>
  <c r="Q42" i="31" s="1"/>
  <c r="Q82" i="31" a="1"/>
  <c r="Q82" i="31" s="1"/>
  <c r="R7" i="31" a="1"/>
  <c r="R7" i="31" s="1"/>
  <c r="S42" i="31" a="1"/>
  <c r="S42" i="31" s="1"/>
  <c r="R43" i="31" a="1"/>
  <c r="R43" i="31" s="1"/>
  <c r="R82" i="31" a="1"/>
  <c r="R82" i="31" s="1"/>
  <c r="R8" i="31" a="1"/>
  <c r="R8" i="31" s="1"/>
  <c r="P37" i="31" a="1"/>
  <c r="P37" i="31" s="1"/>
  <c r="R44" i="31" a="1"/>
  <c r="R44" i="31" s="1"/>
  <c r="Q81" i="31" a="1"/>
  <c r="Q81" i="31" s="1"/>
  <c r="Q36" i="31" a="1"/>
  <c r="Q36" i="31" s="1"/>
  <c r="Q6" i="31" a="1"/>
  <c r="Q6" i="31" s="1"/>
  <c r="S83" i="31" a="1"/>
  <c r="S83" i="31" s="1"/>
  <c r="Q37" i="31" a="1"/>
  <c r="Q37" i="31" s="1"/>
  <c r="P81" i="31" a="1"/>
  <c r="P81" i="31" s="1"/>
  <c r="P43" i="31" a="1"/>
  <c r="P43" i="31" s="1"/>
  <c r="Q83" i="31" a="1"/>
  <c r="Q83" i="31" s="1"/>
  <c r="Q44" i="31" a="1"/>
  <c r="Q44" i="31" s="1"/>
  <c r="Q8" i="31" a="1"/>
  <c r="Q8" i="31" s="1"/>
  <c r="Q43" i="31" a="1"/>
  <c r="Q43" i="31" s="1"/>
  <c r="S8" i="31" a="1"/>
  <c r="S8" i="31" s="1"/>
  <c r="S7" i="31" a="1"/>
  <c r="S7" i="31" s="1"/>
  <c r="S6" i="31" a="1"/>
  <c r="S6" i="31" s="1"/>
  <c r="P83" i="31" a="1"/>
  <c r="P83" i="31" s="1"/>
  <c r="S43" i="31" a="1"/>
  <c r="S43" i="31" s="1"/>
  <c r="S37" i="31" a="1"/>
  <c r="S37" i="31" s="1"/>
  <c r="S38" i="31" a="1"/>
  <c r="S38" i="31" s="1"/>
  <c r="R37" i="31" a="1"/>
  <c r="R37" i="31" s="1"/>
  <c r="Q14" i="31" a="1"/>
  <c r="Q14" i="31" s="1"/>
  <c r="Q57" i="31" a="1"/>
  <c r="Q57" i="31" s="1"/>
  <c r="Q53" i="31" a="1"/>
  <c r="Q53" i="31" s="1"/>
  <c r="Q112" i="31" a="1"/>
  <c r="Q112" i="31" s="1"/>
  <c r="Q40" i="31" a="1"/>
  <c r="Q40" i="31" s="1"/>
  <c r="Q80" i="31" a="1"/>
  <c r="Q80" i="31" s="1"/>
  <c r="Q115" i="31" a="1"/>
  <c r="Q115" i="31" s="1"/>
  <c r="Q127" i="31" a="1"/>
  <c r="Q127" i="31" s="1"/>
  <c r="Q19" i="31" a="1"/>
  <c r="Q19" i="31" s="1"/>
  <c r="Q48" i="31" a="1"/>
  <c r="Q48" i="31" s="1"/>
  <c r="Q71" i="31" a="1"/>
  <c r="Q71" i="31" s="1"/>
  <c r="Q113" i="31" a="1"/>
  <c r="Q113" i="31" s="1"/>
  <c r="Q125" i="31" a="1"/>
  <c r="Q125" i="31" s="1"/>
  <c r="Q25" i="31" a="1"/>
  <c r="Q25" i="31" s="1"/>
  <c r="Q87" i="31" a="1"/>
  <c r="Q87" i="31" s="1"/>
  <c r="Q106" i="31" a="1"/>
  <c r="Q106" i="31" s="1"/>
  <c r="Q54" i="31" a="1"/>
  <c r="Q54" i="31" s="1"/>
  <c r="Q65" i="31" a="1"/>
  <c r="Q65" i="31" s="1"/>
  <c r="Q99" i="31" a="1"/>
  <c r="Q99" i="31" s="1"/>
  <c r="Q103" i="31" a="1"/>
  <c r="Q103" i="31" s="1"/>
  <c r="Q13" i="31" a="1"/>
  <c r="Q13" i="31" s="1"/>
  <c r="Q72" i="31" a="1"/>
  <c r="Q72" i="31" s="1"/>
  <c r="Q120" i="31" a="1"/>
  <c r="Q120" i="31" s="1"/>
  <c r="Q30" i="31" a="1"/>
  <c r="Q30" i="31" s="1"/>
  <c r="Q77" i="31" a="1"/>
  <c r="Q77" i="31" s="1"/>
  <c r="Q130" i="31" a="1"/>
  <c r="Q130" i="31" s="1"/>
  <c r="Q107" i="31" a="1"/>
  <c r="Q107" i="31" s="1"/>
  <c r="Q17" i="31" a="1"/>
  <c r="Q17" i="31" s="1"/>
  <c r="Q85" i="31" a="1"/>
  <c r="Q85" i="31" s="1"/>
  <c r="Q124" i="31" a="1"/>
  <c r="Q124" i="31" s="1"/>
  <c r="Q55" i="31" a="1"/>
  <c r="Q55" i="31" s="1"/>
  <c r="Q35" i="31" a="1"/>
  <c r="Q35" i="31" s="1"/>
  <c r="Q61" i="31" a="1"/>
  <c r="Q61" i="31" s="1"/>
  <c r="Q101" i="31" a="1"/>
  <c r="Q101" i="31" s="1"/>
  <c r="Q21" i="31" a="1"/>
  <c r="Q21" i="31" s="1"/>
  <c r="Q51" i="31" a="1"/>
  <c r="Q51" i="31" s="1"/>
  <c r="Q109" i="31" a="1"/>
  <c r="Q109" i="31" s="1"/>
  <c r="Q22" i="31" a="1"/>
  <c r="Q22" i="31" s="1"/>
  <c r="Q46" i="31" a="1"/>
  <c r="Q46" i="31" s="1"/>
  <c r="Q78" i="31" a="1"/>
  <c r="Q78" i="31" s="1"/>
  <c r="Q108" i="31" a="1"/>
  <c r="Q108" i="31" s="1"/>
  <c r="Q24" i="31" a="1"/>
  <c r="Q24" i="31" s="1"/>
  <c r="Q60" i="31" a="1"/>
  <c r="Q60" i="31" s="1"/>
  <c r="Q96" i="31" a="1"/>
  <c r="Q96" i="31" s="1"/>
  <c r="Q116" i="31" a="1"/>
  <c r="Q116" i="31" s="1"/>
  <c r="Q11" i="31" a="1"/>
  <c r="Q11" i="31" s="1"/>
  <c r="Q62" i="31" a="1"/>
  <c r="Q62" i="31" s="1"/>
  <c r="Q119" i="31" a="1"/>
  <c r="Q119" i="31" s="1"/>
  <c r="Q12" i="31" a="1"/>
  <c r="Q12" i="31" s="1"/>
  <c r="Q29" i="31" a="1"/>
  <c r="Q29" i="31" s="1"/>
  <c r="Q79" i="31" a="1"/>
  <c r="Q79" i="31" s="1"/>
  <c r="Q97" i="31" a="1"/>
  <c r="Q97" i="31" s="1"/>
  <c r="Q15" i="31" a="1"/>
  <c r="Q15" i="31" s="1"/>
  <c r="Q74" i="31" a="1"/>
  <c r="Q74" i="31" s="1"/>
  <c r="Q104" i="31" a="1"/>
  <c r="Q104" i="31" s="1"/>
  <c r="Q16" i="31" a="1"/>
  <c r="Q16" i="31" s="1"/>
  <c r="Q33" i="31" a="1"/>
  <c r="Q33" i="31" s="1"/>
  <c r="Q63" i="31" a="1"/>
  <c r="Q63" i="31" s="1"/>
  <c r="Q129" i="31" a="1"/>
  <c r="Q129" i="31" s="1"/>
  <c r="Q18" i="31" a="1"/>
  <c r="Q18" i="31" s="1"/>
  <c r="Q93" i="31" a="1"/>
  <c r="Q93" i="31" s="1"/>
  <c r="Q73" i="31" a="1"/>
  <c r="Q73" i="31" s="1"/>
  <c r="Q58" i="31" a="1"/>
  <c r="Q58" i="31" s="1"/>
  <c r="Q102" i="31" a="1"/>
  <c r="Q102" i="31" s="1"/>
  <c r="Q10" i="31" a="1"/>
  <c r="Q10" i="31" s="1"/>
  <c r="Q27" i="31" a="1"/>
  <c r="Q27" i="31" s="1"/>
  <c r="Q76" i="31" a="1"/>
  <c r="Q76" i="31" s="1"/>
  <c r="Q92" i="31" a="1"/>
  <c r="Q92" i="31" s="1"/>
  <c r="Q28" i="31" a="1"/>
  <c r="Q28" i="31" s="1"/>
  <c r="Q56" i="31" a="1"/>
  <c r="Q56" i="31" s="1"/>
  <c r="Q91" i="31" a="1"/>
  <c r="Q91" i="31" s="1"/>
  <c r="Q123" i="31" a="1"/>
  <c r="Q123" i="31" s="1"/>
  <c r="Q31" i="31" a="1"/>
  <c r="Q31" i="31" s="1"/>
  <c r="Q59" i="31" a="1"/>
  <c r="Q59" i="31" s="1"/>
  <c r="Q114" i="31" a="1"/>
  <c r="Q114" i="31" s="1"/>
  <c r="Q32" i="31" a="1"/>
  <c r="Q32" i="31" s="1"/>
  <c r="Q86" i="31" a="1"/>
  <c r="Q86" i="31" s="1"/>
  <c r="Q66" i="31" a="1"/>
  <c r="Q66" i="31" s="1"/>
  <c r="Q118" i="31" a="1"/>
  <c r="Q118" i="31" s="1"/>
  <c r="Q45" i="31" a="1"/>
  <c r="Q45" i="31" s="1"/>
  <c r="Q88" i="31" a="1"/>
  <c r="Q88" i="31" s="1"/>
  <c r="Q68" i="31" a="1"/>
  <c r="Q68" i="31" s="1"/>
  <c r="BG12" i="31" l="1"/>
  <c r="BG18" i="31"/>
  <c r="BG10" i="31"/>
  <c r="BG14" i="31"/>
  <c r="BG13" i="31"/>
  <c r="BG8" i="31"/>
  <c r="BG5" i="31"/>
  <c r="BG17" i="31"/>
  <c r="BG16" i="31"/>
  <c r="BG6" i="31" l="1"/>
  <c r="BG9" i="31"/>
  <c r="BG11" i="31" s="1"/>
  <c r="BG19" i="31"/>
  <c r="BG15" i="31"/>
  <c r="BG4" i="31"/>
  <c r="BG7" i="31" l="1"/>
  <c r="BG20" i="31" s="1"/>
  <c r="BG23" i="31" l="1"/>
  <c r="BG24" i="31" l="1"/>
  <c r="BG25" i="3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<sst xmlns="http://schemas.openxmlformats.org/spreadsheetml/2006/main" count="3630" uniqueCount="622">
  <si>
    <t>Main Objective</t>
  </si>
  <si>
    <t>Calculate the demand for Service Center and HMH's capacity, ensuring the predictability needed to meet projects and to enable decisions to be made in advance.</t>
  </si>
  <si>
    <t>Type</t>
  </si>
  <si>
    <t>Definition</t>
  </si>
  <si>
    <t>Firm</t>
  </si>
  <si>
    <t>Projects with PO, or in other words, backlog</t>
  </si>
  <si>
    <t>Risk Release</t>
  </si>
  <si>
    <t>Forecasted projects, but evaluated in LOB to be as firm that it is initiated even with a PO</t>
  </si>
  <si>
    <t>Forecast</t>
  </si>
  <si>
    <t>Forecasted projects, in budget, however still not certain.</t>
  </si>
  <si>
    <t>Avg hours per Phase</t>
  </si>
  <si>
    <t>Average time consumption in hours expected per phase (considering transactional projects)</t>
  </si>
  <si>
    <t xml:space="preserve">Avr Lead time per Phase </t>
  </si>
  <si>
    <t>Average time consumption in mothns expected per phase (considering transactional projects)</t>
  </si>
  <si>
    <t>Legends</t>
  </si>
  <si>
    <t>FCTS</t>
  </si>
  <si>
    <t>FIRM</t>
  </si>
  <si>
    <t>Backlog (with PO)</t>
  </si>
  <si>
    <t>The Ideal Design</t>
  </si>
  <si>
    <t>RCCP Service Center - Premises / Rules</t>
  </si>
  <si>
    <t>Demand Control</t>
  </si>
  <si>
    <t>In this table, need to fill all projects and your informations.</t>
  </si>
  <si>
    <t>In this table, have all months of the year, need to be distributed the total hours per total lead time, the formula is: (Avg Hours per Phase (Hours) * Quantity) / Avg Lead time Phase (Months).</t>
  </si>
  <si>
    <t>We need to pay attention to filling the demand from the "start month".</t>
  </si>
  <si>
    <t xml:space="preserve">In the demand table of the tab "RCCP SAM" is automatic, not need to fill. </t>
  </si>
  <si>
    <t>Capacity Control</t>
  </si>
  <si>
    <t>Need to calculate the capacity in relation of the workdays.</t>
  </si>
  <si>
    <t>Overtime only occurs when demand is greater than capacity.</t>
  </si>
  <si>
    <t>HMH capacity is calculated on one line, contractors on another and we have unavailable, which is a vacation reference value.</t>
  </si>
  <si>
    <t>RCCP - Graphic</t>
  </si>
  <si>
    <t>When filling in the data, you need to insert a text box with white letters in the RCCP graphic and enter the product line of the area.</t>
  </si>
  <si>
    <t>The Graphic is automatized, we need only to fill the demand and capacity.</t>
  </si>
  <si>
    <t>The Graphic have your values in thousand hours.</t>
  </si>
  <si>
    <t>Projects Control</t>
  </si>
  <si>
    <t>The table below it's necessary to fill all projects and your informations.</t>
  </si>
  <si>
    <t>Distribution of Demand in hours</t>
  </si>
  <si>
    <t>Calculations sources:</t>
  </si>
  <si>
    <t>Definitions</t>
  </si>
  <si>
    <t>Firm, Risk Release or Forecast</t>
  </si>
  <si>
    <t>The distribution of hours is as below:</t>
  </si>
  <si>
    <t>(Avg Hours per Phase (Hours) * Quantity) / Avg Lead time Phase (Months)</t>
  </si>
  <si>
    <t>Ex: H-4 Connector</t>
  </si>
  <si>
    <t>Avg Hours per Phase (Hours)</t>
  </si>
  <si>
    <t>Quantity</t>
  </si>
  <si>
    <t>Avg Lead time Phase (Months)</t>
  </si>
  <si>
    <t>Start Month</t>
  </si>
  <si>
    <t>January</t>
  </si>
  <si>
    <t xml:space="preserve">Jan </t>
  </si>
  <si>
    <t xml:space="preserve">Fev </t>
  </si>
  <si>
    <t>March</t>
  </si>
  <si>
    <t>Apr</t>
  </si>
  <si>
    <t>Note: Important to understand that this result need to be spread according to the lead time</t>
  </si>
  <si>
    <t>Capacity Calculation in Hours</t>
  </si>
  <si>
    <t>Calculations resources:</t>
  </si>
  <si>
    <t>HMH employee and contractors</t>
  </si>
  <si>
    <t>For calculation HMH employees we use the formula below:</t>
  </si>
  <si>
    <t>Operational Hours = ((Resource quantity)*(total workdays on the quarter) *(85% of total hours per day) - (Unavailable Hours))</t>
  </si>
  <si>
    <t>For calculation Contractors employees we use the formula below:</t>
  </si>
  <si>
    <t>Operational Hours = ((Resource quantity)*(total workdays on the quarter) *(85% of total hours per day) + (HMH Capacity))</t>
  </si>
  <si>
    <t>For calculation Unavailable Hours, we use the formula below:</t>
  </si>
  <si>
    <t>Total Unavailable Hours =  {((Resource quantity)/4 [quantity quarter in one year])*(85% of total hours per day)*(average workdays per quarter in one year) + (offshore recovery Hours)}</t>
  </si>
  <si>
    <t>Standard List - Project Overview Tab</t>
  </si>
  <si>
    <t>Product Line</t>
  </si>
  <si>
    <t>Project Scope</t>
  </si>
  <si>
    <t>Project Phase</t>
  </si>
  <si>
    <t>Project Status</t>
  </si>
  <si>
    <t>Month</t>
  </si>
  <si>
    <t>Year</t>
  </si>
  <si>
    <t>Report Location</t>
  </si>
  <si>
    <t>Equipment</t>
  </si>
  <si>
    <t>Pressure Control</t>
  </si>
  <si>
    <t>FPA</t>
  </si>
  <si>
    <t>D&amp;I</t>
  </si>
  <si>
    <t>Waiting PO</t>
  </si>
  <si>
    <t>January-24</t>
  </si>
  <si>
    <t>Kintore</t>
  </si>
  <si>
    <t>H4 Connector</t>
  </si>
  <si>
    <t>Topside</t>
  </si>
  <si>
    <t>Transactional</t>
  </si>
  <si>
    <t>Repair</t>
  </si>
  <si>
    <t>Waiting Parts</t>
  </si>
  <si>
    <t>February-24</t>
  </si>
  <si>
    <t>Kristiansand</t>
  </si>
  <si>
    <t>Bonnet</t>
  </si>
  <si>
    <t>Riser</t>
  </si>
  <si>
    <t>Short Cycle</t>
  </si>
  <si>
    <t>T&amp;A</t>
  </si>
  <si>
    <t>WIP</t>
  </si>
  <si>
    <t>March-24</t>
  </si>
  <si>
    <t>Baku</t>
  </si>
  <si>
    <t>BOP Annular</t>
  </si>
  <si>
    <t>N/A</t>
  </si>
  <si>
    <t>Offshore</t>
  </si>
  <si>
    <t>Concluded</t>
  </si>
  <si>
    <t>April-24</t>
  </si>
  <si>
    <t>Erkelenz</t>
  </si>
  <si>
    <t>Annular Piston</t>
  </si>
  <si>
    <t>Others</t>
  </si>
  <si>
    <t>CSA</t>
  </si>
  <si>
    <t>May-24</t>
  </si>
  <si>
    <t>Lyngdal</t>
  </si>
  <si>
    <t>Male Stab</t>
  </si>
  <si>
    <t>TCO</t>
  </si>
  <si>
    <t>June-24</t>
  </si>
  <si>
    <t>Houston</t>
  </si>
  <si>
    <t>Female Stab</t>
  </si>
  <si>
    <t>Manufacturing</t>
  </si>
  <si>
    <t>July-24</t>
  </si>
  <si>
    <t>Mobile</t>
  </si>
  <si>
    <t>Test Stump</t>
  </si>
  <si>
    <t>August-24</t>
  </si>
  <si>
    <t>UAE</t>
  </si>
  <si>
    <t>Diverter</t>
  </si>
  <si>
    <t>September-24</t>
  </si>
  <si>
    <t>Macae</t>
  </si>
  <si>
    <t>Ram Block</t>
  </si>
  <si>
    <t>October-24</t>
  </si>
  <si>
    <t>Singapore</t>
  </si>
  <si>
    <t>Ram BOP</t>
  </si>
  <si>
    <t>November-24</t>
  </si>
  <si>
    <t>Brisbane</t>
  </si>
  <si>
    <t>Telescopic Joint - QTR-3500</t>
  </si>
  <si>
    <t>December-24</t>
  </si>
  <si>
    <t>Telescopic Joint - MR6H</t>
  </si>
  <si>
    <t>January-25</t>
  </si>
  <si>
    <t>Riser Joint - QTR-3500</t>
  </si>
  <si>
    <t>February-25</t>
  </si>
  <si>
    <t>Riser Joint - LK - 3.5</t>
  </si>
  <si>
    <t>March-25</t>
  </si>
  <si>
    <t>Riser Joint - FT - H</t>
  </si>
  <si>
    <t>April-25</t>
  </si>
  <si>
    <t>DDM</t>
  </si>
  <si>
    <t>May-25</t>
  </si>
  <si>
    <t>Dolly</t>
  </si>
  <si>
    <t>June-25</t>
  </si>
  <si>
    <t>BRC Gripper Head</t>
  </si>
  <si>
    <t>July-25</t>
  </si>
  <si>
    <t>LGA Guide Head</t>
  </si>
  <si>
    <t>August-25</t>
  </si>
  <si>
    <t>Travelling Block</t>
  </si>
  <si>
    <t>September-25</t>
  </si>
  <si>
    <t>Rocker Arm</t>
  </si>
  <si>
    <t>October-25</t>
  </si>
  <si>
    <t>Crown Block (Sheave Cluster)</t>
  </si>
  <si>
    <t>November-25</t>
  </si>
  <si>
    <t>Drawworks Callipers (MB)</t>
  </si>
  <si>
    <t>December-25</t>
  </si>
  <si>
    <t>Drawworks Callipers (BKB)</t>
  </si>
  <si>
    <t>January-26</t>
  </si>
  <si>
    <t>February-26</t>
  </si>
  <si>
    <t>Drive Train</t>
  </si>
  <si>
    <t>March-26</t>
  </si>
  <si>
    <t>BRC Hydraulic Cylinders</t>
  </si>
  <si>
    <t>April-26</t>
  </si>
  <si>
    <t>PDPH Hydraulic Cylinders</t>
  </si>
  <si>
    <t>May-26</t>
  </si>
  <si>
    <t>AHC Cylinders</t>
  </si>
  <si>
    <t>June-26</t>
  </si>
  <si>
    <t>Kelly Valves</t>
  </si>
  <si>
    <t>July-26</t>
  </si>
  <si>
    <t>Shafts and Pumps</t>
  </si>
  <si>
    <t>August-26</t>
  </si>
  <si>
    <t>Wiresheaves</t>
  </si>
  <si>
    <t>September-26</t>
  </si>
  <si>
    <t>Riser Running Tool</t>
  </si>
  <si>
    <t>October-26</t>
  </si>
  <si>
    <t>Gas Handler</t>
  </si>
  <si>
    <t>November-26</t>
  </si>
  <si>
    <t>Goosenecks</t>
  </si>
  <si>
    <t>December-26</t>
  </si>
  <si>
    <t>Swivel</t>
  </si>
  <si>
    <t>January-27</t>
  </si>
  <si>
    <t>Bay Handling</t>
  </si>
  <si>
    <t>February-27</t>
  </si>
  <si>
    <t>Tensioner</t>
  </si>
  <si>
    <t>March-27</t>
  </si>
  <si>
    <t>Termination Adapter</t>
  </si>
  <si>
    <t>April-27</t>
  </si>
  <si>
    <t>Gearbox Drawworks</t>
  </si>
  <si>
    <t>May-27</t>
  </si>
  <si>
    <t>Roughnecks</t>
  </si>
  <si>
    <t>June-27</t>
  </si>
  <si>
    <t>Top Drives</t>
  </si>
  <si>
    <t>Mud Pumps</t>
  </si>
  <si>
    <t>Vertical Pipe Handlers</t>
  </si>
  <si>
    <t>Horizontal Pipe Handlers</t>
  </si>
  <si>
    <t>Torque Wrenches</t>
  </si>
  <si>
    <t>Acess Baskets</t>
  </si>
  <si>
    <t>DAT</t>
  </si>
  <si>
    <t>Total Hours</t>
  </si>
  <si>
    <t>TJ MR6H (Valaris)</t>
  </si>
  <si>
    <t>Project Name</t>
  </si>
  <si>
    <t>Start Year</t>
  </si>
  <si>
    <t>Avg hours per Phase (Hours)</t>
  </si>
  <si>
    <t>Avg Lead time phase (Months)</t>
  </si>
  <si>
    <t>CON-Bonnet 4604405 - Constellation (From by projects)</t>
  </si>
  <si>
    <t>CON-Bonnet 4604427 - Constellation (From by projects)</t>
  </si>
  <si>
    <t>CON-Bonnet 4604404 - Constellation (From by projects)</t>
  </si>
  <si>
    <t>CON-Bonnet 4604380 - Constellation (From by projects)</t>
  </si>
  <si>
    <t>CON-Bonnet 470001804 - Constellation (From by projects)</t>
  </si>
  <si>
    <t>FOR-Bonnet 15-3K 470002470- Foresea (From by projects)</t>
  </si>
  <si>
    <t>FOR-Bonnet 15-3K 470002553- Foresea (From by projects)</t>
  </si>
  <si>
    <t>CON-Female Stab - Piston (From by Projects)</t>
  </si>
  <si>
    <t>35J Inspeção Laguna Star, do lote de 41J</t>
  </si>
  <si>
    <t>6J Inspeção Laguna Star, pendentes do lote de 41J</t>
  </si>
  <si>
    <t>25J Montagem laguna Star com Amaralina</t>
  </si>
  <si>
    <t>7J teste/montagem Laguna Star - Minor Repair</t>
  </si>
  <si>
    <t>17J Inspeção Amaralina Star, do lote de 34J</t>
  </si>
  <si>
    <t>24J Inspeção Amaralina Star</t>
  </si>
  <si>
    <t>25J Minor Repair and Assembly Brava Star</t>
  </si>
  <si>
    <t>45J Inspeção Brava Star</t>
  </si>
  <si>
    <t>23J teste/montagem Brava Star</t>
  </si>
  <si>
    <t>10J teste/montagem Brava Star</t>
  </si>
  <si>
    <t>10J Repair Scope - CSA - Constellation</t>
  </si>
  <si>
    <t>128 Preservation Scope - CSA - Constellation  (From by project)</t>
  </si>
  <si>
    <t>30J CSA Gold Star - RiCon  (From by project)</t>
  </si>
  <si>
    <t>123J CSA Lone Star - RiCon  (From by project)</t>
  </si>
  <si>
    <t>44J CSA Alpha Star - RiCon (From by project)</t>
  </si>
  <si>
    <t>88 módulos de flutuadores (From by project)</t>
  </si>
  <si>
    <t>36J Rework Alpha Star (From by project)</t>
  </si>
  <si>
    <t>36J CSA Alpha Star - RiCon (From by project)</t>
  </si>
  <si>
    <t>2J Repair Scope from 14J D&amp;I 2Y- Noble (From by projects team)</t>
  </si>
  <si>
    <t>36J Preservation - Noble  (From by projects team)</t>
  </si>
  <si>
    <t>2x Brake Callipers - Foresea (From by Projects)</t>
  </si>
  <si>
    <t>4x Brake Callipers - Ventura (From by sales)</t>
  </si>
  <si>
    <t>8x Brake Callipers - Noble - Ocean Courage (From by projects)</t>
  </si>
  <si>
    <t>4x Brake Callipers - Ventura (From by Projects) - 470005493</t>
  </si>
  <si>
    <t>4 Employee - January</t>
  </si>
  <si>
    <t>4 Employee - February</t>
  </si>
  <si>
    <t>4 Employee - March</t>
  </si>
  <si>
    <t>8 Employee - April</t>
  </si>
  <si>
    <t>8 Employee - May</t>
  </si>
  <si>
    <t>4 Employee - June</t>
  </si>
  <si>
    <t>3 Employee - July</t>
  </si>
  <si>
    <t>7 Employee - August</t>
  </si>
  <si>
    <t>4 Employee - September</t>
  </si>
  <si>
    <t>6 Employee - October</t>
  </si>
  <si>
    <t>6 Employee - November</t>
  </si>
  <si>
    <t>FOR-Gripper Head N08 - Foresea</t>
  </si>
  <si>
    <t>FOR-Gripper Head ODN1 - Foresea</t>
  </si>
  <si>
    <t>FOR-BOP Annular N06 - Foresea</t>
  </si>
  <si>
    <t>CON-BOP Annular 470001736 - Constellation</t>
  </si>
  <si>
    <t>FOR-Bonnet 15-3K 470002474 - Foresea</t>
  </si>
  <si>
    <t>CON-Annular Piston GX - 4603341 - Constellation</t>
  </si>
  <si>
    <t>31J Buoyancy Repair- Noble (From by projects team)</t>
  </si>
  <si>
    <t>6J repair from 31J D&amp;I 2y  - Noble</t>
  </si>
  <si>
    <t>Facilities demand - Coating HMH Yard</t>
  </si>
  <si>
    <t>18J Preservation - Noble  (From by projects team)</t>
  </si>
  <si>
    <t>15J 5 Years - Noble  (From by projects team)</t>
  </si>
  <si>
    <t>52J montagem e ajuste Lone Star - Constellation</t>
  </si>
  <si>
    <t>76J Lone Star CSA Scope - Constellation</t>
  </si>
  <si>
    <t xml:space="preserve">VEN - 2x Force Equalizer Cylinders </t>
  </si>
  <si>
    <t>21J - Riser CSA Transocean - Inspeção lote 1</t>
  </si>
  <si>
    <t>21J - Riser CSA Transocean - Inspeção lote 2</t>
  </si>
  <si>
    <t>22J - Riser CSA Transocean - Inspeção lote 3</t>
  </si>
  <si>
    <t>21J - Riser CSA Transocean - Inspeção lote 4</t>
  </si>
  <si>
    <t>21J - Riser CSA Transocean - Inspeção lote 5</t>
  </si>
  <si>
    <t>22J - Riser CSA Transocean - Inspeção lote 6</t>
  </si>
  <si>
    <t>21J - Riser CSA Transocean - Inspeção lote 7</t>
  </si>
  <si>
    <t>21J - Riser CSA Transocean - Inspeção lote 8</t>
  </si>
  <si>
    <t>22J - Riser CSA Transocean - Inspeção lote 9</t>
  </si>
  <si>
    <t>21J - Riser CSA Transocean - Inspeção lote 10</t>
  </si>
  <si>
    <t>21J - Riser CSA Transocean - Inspeção lote 11</t>
  </si>
  <si>
    <t>22J - Riser CSA Transocean - Inspeção lote 12</t>
  </si>
  <si>
    <t>5J - Riser CSA Transocean - Repair - Lote 1</t>
  </si>
  <si>
    <t>5J - Riser CSA Transocean - Repair - Lote 2</t>
  </si>
  <si>
    <t>5J - Riser CSA Transocean - Repair - Lote 3</t>
  </si>
  <si>
    <t>5J - Riser CSA Transocean - Repair - Lote 4</t>
  </si>
  <si>
    <t>5J - Riser CSA Transocean - Repair - Lote 5</t>
  </si>
  <si>
    <t>5J - Riser CSA Transocean - Repair - Lote 6</t>
  </si>
  <si>
    <t>5J - Riser CSA Transocean - Repair - Lote 7</t>
  </si>
  <si>
    <t>5J - Riser CSA Transocean - Repair - Lote 8</t>
  </si>
  <si>
    <t>5J - Riser CSA Transocean - Repair - Lote 9</t>
  </si>
  <si>
    <t>5J - Riser CSA Transocean - Repair - Lote 10</t>
  </si>
  <si>
    <t>5J - Riser CSA Transocean - Repair - Lote 11</t>
  </si>
  <si>
    <t>5J - Riser CSA Transocean - Repair - Lote 12</t>
  </si>
  <si>
    <t>21J - Riser CSA Transocean - Montagem lote 1</t>
  </si>
  <si>
    <t>21J - Riser CSA Transocean - Montagem lote 2</t>
  </si>
  <si>
    <t>22J - Riser CSA Transocean - Montagem lote 3</t>
  </si>
  <si>
    <t>21J - Riser CSA Transocean - Montagem lote 4</t>
  </si>
  <si>
    <t>21J - Riser CSA Transocean - Montagem lote 5</t>
  </si>
  <si>
    <t>22J - Riser CSA Transocean - Montagem lote 6</t>
  </si>
  <si>
    <t>21J - Riser CSA Transocean - Montagem lote 7</t>
  </si>
  <si>
    <t>21J - Riser CSA Transocean - Montagem lote 8</t>
  </si>
  <si>
    <t>22J - Riser CSA Transocean - Montagem lote 9</t>
  </si>
  <si>
    <t>21J - Riser CSA Transocean - Montagem lote 10</t>
  </si>
  <si>
    <t>21J - Riser CSA Transocean - Montagem lote 11</t>
  </si>
  <si>
    <t>22J - Riser CSA Transocean - Montagem lote 12</t>
  </si>
  <si>
    <t>21J - Riser CSA Seadrill - Inspeção lote 1</t>
  </si>
  <si>
    <t>21J - Riser CSA Seadrill - Inspeção lote 2</t>
  </si>
  <si>
    <t>22J - Riser CSA Seadrill - Inspeção lote 3</t>
  </si>
  <si>
    <t>21J - Riser CSA Seadrill - Inspeção lote 4</t>
  </si>
  <si>
    <t>21J - Riser CSA Seadrill - Inspeção lote 5</t>
  </si>
  <si>
    <t>22J - Riser CSA Seadrill - Inspeção lote 6</t>
  </si>
  <si>
    <t>21J - Riser CSA Seadrill - Inspeção lote 7</t>
  </si>
  <si>
    <t>21J - Riser CSA Seadrill - Inspeção lote 8</t>
  </si>
  <si>
    <t>22J - Riser CSA Seadrill - Inspeção lote 9</t>
  </si>
  <si>
    <t>21J - Riser CSA Seadrill - Inspeção lote 10</t>
  </si>
  <si>
    <t>21J - Riser CSA Seadrill - Inspeção lote 11</t>
  </si>
  <si>
    <t>22J - Riser CSA Seadrill - Inspeção lote 12</t>
  </si>
  <si>
    <t>5J - Riser CSA Seadrill - Repair - Lote 1</t>
  </si>
  <si>
    <t>5J - Riser CSA Seadrill - Repair - Lote 2</t>
  </si>
  <si>
    <t>5J - Riser CSA Seadrill - Repair - Lote 3</t>
  </si>
  <si>
    <t>5J - Riser CSA Seadrill - Repair - Lote 4</t>
  </si>
  <si>
    <t>5J - Riser CSA Seadrill - Repair - Lote 5</t>
  </si>
  <si>
    <t>5J - Riser CSA Seadrill - Repair - Lote 6</t>
  </si>
  <si>
    <t>5J - Riser CSA Seadrill - Repair - Lote 7</t>
  </si>
  <si>
    <t>5J - Riser CSA Seadrill - Repair - Lote 8</t>
  </si>
  <si>
    <t>5J - Riser CSA Seadrill - Repair - Lote 9</t>
  </si>
  <si>
    <t>5J - Riser CSA Seadrill - Repair - Lote 10</t>
  </si>
  <si>
    <t>5J - Riser CSA Seadrill - Repair - Lote 11</t>
  </si>
  <si>
    <t>5J - Riser CSA Seadrill - Repair - Lote 12</t>
  </si>
  <si>
    <t>21J - Riser CSA Seadrill - Montagem lote 1</t>
  </si>
  <si>
    <t>21J - Riser CSA Seadrill - Montagem lote 2</t>
  </si>
  <si>
    <t>22J - Riser CSA Seadrill - Montagem lote 3</t>
  </si>
  <si>
    <t>21J - Riser CSA Seadrill - Montagem lote 4</t>
  </si>
  <si>
    <t>21J - Riser CSA Seadrill - Montagem lote 5</t>
  </si>
  <si>
    <t>22J - Riser CSA Seadrill - Montagem lote 6</t>
  </si>
  <si>
    <t>21J - Riser CSA Seadrill - Montagem lote 7</t>
  </si>
  <si>
    <t>21J - Riser CSA Seadrill - Montagem lote 8</t>
  </si>
  <si>
    <t>22J - Riser CSA Seadrill - Montagem lote 9</t>
  </si>
  <si>
    <t>21J - Riser CSA Seadrill - Montagem lote 10</t>
  </si>
  <si>
    <t>21J - Riser CSA Seadrill - Montagem lote 11</t>
  </si>
  <si>
    <t>22J - Riser CSA Seadrill - Montagem lote 12</t>
  </si>
  <si>
    <t>Forecast Time PCS - 2</t>
  </si>
  <si>
    <t>Forecast Time Topside - 2</t>
  </si>
  <si>
    <t>Forecast Time PCS - 3</t>
  </si>
  <si>
    <t>Forecast Time Topside - 3</t>
  </si>
  <si>
    <t>Forecast Time PCS - 4</t>
  </si>
  <si>
    <t>Forecast Time Topside - 4</t>
  </si>
  <si>
    <t>Waiting Requested</t>
  </si>
  <si>
    <t>HMH</t>
  </si>
  <si>
    <t>CATEGORY</t>
  </si>
  <si>
    <t>2025 Demand</t>
  </si>
  <si>
    <t>2026 Demand</t>
  </si>
  <si>
    <t>2025 - Demand (Volumes)</t>
  </si>
  <si>
    <t>2026 - Demand (Volumes)</t>
  </si>
  <si>
    <t>O&amp;R RISER FIRM</t>
  </si>
  <si>
    <t>O&amp;R RISER RISK RELEASE</t>
  </si>
  <si>
    <t>O&amp;R RISER FCST</t>
  </si>
  <si>
    <t>O&amp;R RISER TOTAL Hrs.</t>
  </si>
  <si>
    <t>O&amp;R TOPSIDE FIRM</t>
  </si>
  <si>
    <t>O&amp;R TOPSIDE RISK RELEASE</t>
  </si>
  <si>
    <t>O&amp;R TOPSIDE FCST</t>
  </si>
  <si>
    <t>O&amp;R TOPSIDE TOTAL Hrs.</t>
  </si>
  <si>
    <t>O&amp;R PRESSURE CONTROL FIRM</t>
  </si>
  <si>
    <t>O&amp;R PRESSURE CONTROL RISK RELEASE</t>
  </si>
  <si>
    <t>O&amp;R PRESSURE CONTROL FCST</t>
  </si>
  <si>
    <t>O&amp;R PRESSURE CONTROL TOTAL Hrs.</t>
  </si>
  <si>
    <t>OTHERS FIRM</t>
  </si>
  <si>
    <t>O&amp;R OTHERS RISK RELEASE</t>
  </si>
  <si>
    <t>OTHERS FCST</t>
  </si>
  <si>
    <t>OTHERS TOTAL Hrs.</t>
  </si>
  <si>
    <t>TOTAL Hrs.</t>
  </si>
  <si>
    <t>Current Workshop Capacity per quarter</t>
  </si>
  <si>
    <t>Headcount</t>
  </si>
  <si>
    <t>HMH Operational Employees</t>
  </si>
  <si>
    <t>Sub Contractors</t>
  </si>
  <si>
    <t>Total Employees</t>
  </si>
  <si>
    <t>TJ QTR-3500</t>
  </si>
  <si>
    <t>Consolidate Demand per Quarter</t>
  </si>
  <si>
    <t>Riser NOV (Batch 5J)</t>
  </si>
  <si>
    <t>Status</t>
  </si>
  <si>
    <t>Q4 - 2024</t>
  </si>
  <si>
    <t>Q1 -2025</t>
  </si>
  <si>
    <t>Q2 - 2025</t>
  </si>
  <si>
    <t>Q3 - 2025</t>
  </si>
  <si>
    <t>Q4 - 2025</t>
  </si>
  <si>
    <t>Q1 - 2026</t>
  </si>
  <si>
    <t>Q2 - 2026</t>
  </si>
  <si>
    <t>Q3 - 2026</t>
  </si>
  <si>
    <t>Q4 - 2026</t>
  </si>
  <si>
    <t>Riser Firm</t>
  </si>
  <si>
    <t>Riser QTR-3500 (Batch 5J)</t>
  </si>
  <si>
    <t>Pressure Control Firm</t>
  </si>
  <si>
    <t>Topside Firm</t>
  </si>
  <si>
    <t>Offshore &amp; Other Firm</t>
  </si>
  <si>
    <t>Riser LK 3.5 (Batch 5J)</t>
  </si>
  <si>
    <t>Riser Risk Release</t>
  </si>
  <si>
    <t>Pressure Control Risk Release</t>
  </si>
  <si>
    <t>Topside Risk Release</t>
  </si>
  <si>
    <t>Offshore &amp; Other Risk Release</t>
  </si>
  <si>
    <t>Riser Forecast</t>
  </si>
  <si>
    <t>Pressure Control Forecast</t>
  </si>
  <si>
    <t>Topside Forecast</t>
  </si>
  <si>
    <t>Offshore &amp; Other Forecast</t>
  </si>
  <si>
    <t>HMH Capacity</t>
  </si>
  <si>
    <t>Contractors</t>
  </si>
  <si>
    <t>Vacation</t>
  </si>
  <si>
    <t>Overtime</t>
  </si>
  <si>
    <t xml:space="preserve">Firm + Risk Release + Forecast </t>
  </si>
  <si>
    <t>Contractos</t>
  </si>
  <si>
    <t>Dias Uteis</t>
  </si>
  <si>
    <t xml:space="preserve">DATs </t>
  </si>
  <si>
    <t>Gearbox Draworks</t>
  </si>
  <si>
    <t>DDM Torque Wrench</t>
  </si>
  <si>
    <t>FOR - DDM 1000 N09 - Foresea</t>
  </si>
  <si>
    <t>CON - H4 Connector FPA DxE - Constellation - Brava Star - 470006272</t>
  </si>
  <si>
    <t>CON - BOP Annular - Constellation (From by projects) - Lone Star - COS Scope</t>
  </si>
  <si>
    <t>FOR - BOP Annular Foresea (From by sales) - Norbe VI - Fase 3</t>
  </si>
  <si>
    <t xml:space="preserve">FOR - BOP Annular Foresea (From by sales) - Norbe VI - Fase 2 </t>
  </si>
  <si>
    <t>FOR - BOP Annular Foresea (From by sales) - Norbe VI</t>
  </si>
  <si>
    <t>VEN - Bonnet - Ventura (From by projects) - 470005332</t>
  </si>
  <si>
    <t>VEN - Bonnet - Ventura (From by projects) - 470005333</t>
  </si>
  <si>
    <t>NBL - Gripper Head - Noble - GPH-1 (From by sales)</t>
  </si>
  <si>
    <t>NBL - Gripper Head - Noble - GPH-2 (From by sales)</t>
  </si>
  <si>
    <t>PRIO - Gripper Head - PRIO (From by sales)</t>
  </si>
  <si>
    <t>FOR - Sheave Cluster - ODN I (From by sales)</t>
  </si>
  <si>
    <t>VEN - DAT - Ventura Victoria (From by sales)</t>
  </si>
  <si>
    <t>NBL - DDM Noble - Ocean Courage (From by Sales)</t>
  </si>
  <si>
    <t>FOR - DDM Foresea - ODN I (From by Sales)</t>
  </si>
  <si>
    <t>VEN - 14x Brake Callipers - Ventura (From by Sales)</t>
  </si>
  <si>
    <t>VEN - Drive Train DDM 1000 - Ventura - Fleet (From by sales)</t>
  </si>
  <si>
    <t>CON-Female Stab - Complete (From by Projects)</t>
  </si>
  <si>
    <t>VLS - 3x Goosenecks - Valaris (From by projects team)</t>
  </si>
  <si>
    <t>TOI - H4 Connector - Transocean (From by sales) - SHD</t>
  </si>
  <si>
    <t>TOI - H4 Connector - Transocean (From by sales) - ExF - Petrobras 1000</t>
  </si>
  <si>
    <t>TOI - H4 Connector - Transocean (From by sales) CX modificantion - DxE - SO 470005658</t>
  </si>
  <si>
    <t>TOI - H4 Connector - Transocean Corcovado - SHD (From by sales)</t>
  </si>
  <si>
    <t>TOI - H4 Connector - DWHD - Transocean Corcovado (From by sales)</t>
  </si>
  <si>
    <t>PRIO - LGA Guide Head - Prio (From by project team)</t>
  </si>
  <si>
    <t>VEN - Ram Block - Ventura - Victoria (From by sales) - 470005490</t>
  </si>
  <si>
    <t>VEN - Ram Block - Ventura - Victoria (From by sales) - 470005491</t>
  </si>
  <si>
    <t>VEN - Ram Block - Foresea - 470005904 - (From by Project)</t>
  </si>
  <si>
    <t>VLS - Pulsation Dampner - 470006323</t>
  </si>
  <si>
    <t>VLS - Bearing System + Inner Barrel TJ Valaris - 470006252</t>
  </si>
  <si>
    <t xml:space="preserve">VLS - TJ DS-04B - Valaris - Fase 1 </t>
  </si>
  <si>
    <t xml:space="preserve">VLS - TJ DS-04B - Valaris - Fase 2 </t>
  </si>
  <si>
    <t>CON - TJ APS-001 - Constellation (From by Project)</t>
  </si>
  <si>
    <t>CON - TJ LNS-002 - Constellation (From by Project)</t>
  </si>
  <si>
    <t>CON - TJ GDS-B - Constellation (From by Projects)</t>
  </si>
  <si>
    <t>FOR - Assembly and Adjust RNX - Norbe IX</t>
  </si>
  <si>
    <t>FOR - Travelling Block - Foresea ODN I (From by sales)</t>
  </si>
  <si>
    <t>NBL - Travelling Block -  Ocean Courage - Noble (From by sales)</t>
  </si>
  <si>
    <t>VLS - Annular Piston - Valaris (From by projects)</t>
  </si>
  <si>
    <t>VEN - Bonnet - Ventura (From by projects)</t>
  </si>
  <si>
    <t>FOR - Sheave Cluster - Norbe VIII (From by sales)</t>
  </si>
  <si>
    <t>CON - Diverter LNS - Constellation</t>
  </si>
  <si>
    <t>CON - Diverter FS21 - APS - Constellation</t>
  </si>
  <si>
    <t>CON - Conector H4 - 4604268 - Constellation</t>
  </si>
  <si>
    <t>CON - Conector H4 - 470000706 - Constellation</t>
  </si>
  <si>
    <t>CON - Adequação Wear Ring GDS - Constellation - 470005600 (From by Projects)</t>
  </si>
  <si>
    <t>HMH - Inspection on Cylinders Head - Opportunity - 470005746</t>
  </si>
  <si>
    <t>VEN - Ram Block - Ventura - Victoria (From by sales)</t>
  </si>
  <si>
    <t>CON - Ram Block - Constellation - 470004598 (From by sales)</t>
  </si>
  <si>
    <t>CON - Ram Block - Constellation - 470004599 (From by sales)</t>
  </si>
  <si>
    <t>CON - Ram Block - Constellation - 470004600 (From by sales)</t>
  </si>
  <si>
    <t>CON - Ram Block - Constellation - 470004598 (From by Project)</t>
  </si>
  <si>
    <t>CON - Ram Block - Constellation - 470004099 (From by Project)</t>
  </si>
  <si>
    <t>CON - Ram Block - Constellation - 470004599 (From by Project)</t>
  </si>
  <si>
    <t>CON - Ram Block - Constellation - 470004600 (From by Project)</t>
  </si>
  <si>
    <t>CON - Ram Block - Constellation - 470004100 (From by Project)</t>
  </si>
  <si>
    <t>FOR - Ram Block - Foresea - 470005904 - (From by Project)</t>
  </si>
  <si>
    <t>CON - Ram Block - 470001888 - Constellation</t>
  </si>
  <si>
    <t>CON - Ram Block - 470001897 - Constellation</t>
  </si>
  <si>
    <t>CON - Ram Block - 470001885 - Constellation</t>
  </si>
  <si>
    <t>CON - Ram Block - 470001905 - Constellation</t>
  </si>
  <si>
    <t>NBL - Pup Joint 54495 - Noble</t>
  </si>
  <si>
    <t>NBL - Pup Joint - 5ft - Noble</t>
  </si>
  <si>
    <t>NBL - Pup Joint - 10ft - Noble</t>
  </si>
  <si>
    <t>NBL - Pup Joint - 20ft - Noble</t>
  </si>
  <si>
    <t>CON - Pup Check Valve Modification APS-128 - Constellation - 470005601 (From by Projects)</t>
  </si>
  <si>
    <t>CON - Pup Joint Modification APS-118 - Constellation - 470005601</t>
  </si>
  <si>
    <t>CON - LNS-015 - Investigation - Constellation</t>
  </si>
  <si>
    <t>CON - Pup Joint GDS-095 &amp; APS-115 (From by projects)</t>
  </si>
  <si>
    <t>CON - TJ GDS-B - Constellation (From by sales)</t>
  </si>
  <si>
    <t>CON - TJ APS-001 - Constellation (From by sales)</t>
  </si>
  <si>
    <t>CON - TJ GDS-A - Constellation(From by Project)</t>
  </si>
  <si>
    <t>CON - TJ LNS-001 - Constellation(From by Project)</t>
  </si>
  <si>
    <t>CON - TJ LNS-001 Urgency - Constellation (From by Project)</t>
  </si>
  <si>
    <t>CON - Riser Adapter + Kick Out Pipes - Contellation - 470005402 (From by Projects)</t>
  </si>
  <si>
    <t>SLB - Torque Wrench - SLB (From by projects team)</t>
  </si>
  <si>
    <t>FOR - Travelling Block - Foresea (From by sales)</t>
  </si>
  <si>
    <t>TOI - H4 Connector - Transocean (From by sales) - DWHD - Petrobras 1000</t>
  </si>
  <si>
    <t>CON - Upper body DxE - Constellation - Amaralina Star - 470006117</t>
  </si>
  <si>
    <t>CON - H4 Connector - Constellation (From by Projects) - SHD - Brava Star - 470005885</t>
  </si>
  <si>
    <t>CON - Upper Body DWHD - Constellation - Laguna Star - 470006394</t>
  </si>
  <si>
    <t>Casings</t>
  </si>
  <si>
    <t>110 Casings 12m com 22" - Baker Hughes</t>
  </si>
  <si>
    <t>4J Amaralina Star Onshore - Major Repair</t>
  </si>
  <si>
    <t>4J Amaralina Star onshore - Minor Repair</t>
  </si>
  <si>
    <t>1016 Bolts para realização de Xylan</t>
  </si>
  <si>
    <t>Mandrel</t>
  </si>
  <si>
    <t>7J - Riser CSA Transocean - Inspeção lote 5</t>
  </si>
  <si>
    <t>7J - Riser CSA Transocean - Inspeção lote 6</t>
  </si>
  <si>
    <t>6J - Riser CSA Transocean - Inspeção lote 7</t>
  </si>
  <si>
    <t>7J - Riser CSA Transocean - Inspeção lote 8</t>
  </si>
  <si>
    <t>7J - Riser CSA Transocean - Inspeção lote 9</t>
  </si>
  <si>
    <t>6J - Riser CSA Transocean - Inspeção lote 10</t>
  </si>
  <si>
    <t>7J - Riser CSA Transocean - Inspeção lote 11</t>
  </si>
  <si>
    <t>7J - Riser CSA Transocean - Inspeção lote 12</t>
  </si>
  <si>
    <t>1J - Riser CSA Transocean - Repair - Lote 7</t>
  </si>
  <si>
    <t>1J - Riser CSA Transocean - Repair - Lote 10</t>
  </si>
  <si>
    <t>2J - Riser CSA Transocean - Repair - Lote 12</t>
  </si>
  <si>
    <t>6J - Riser CSA Transocean - Montagem lote 4</t>
  </si>
  <si>
    <t>7J - Riser CSA Transocean - Montagem lote 5</t>
  </si>
  <si>
    <t>7J - Riser CSA Transocean - Montagem lote 6</t>
  </si>
  <si>
    <t>6J - Riser CSA Transocean - Montagem lote 7</t>
  </si>
  <si>
    <t>7J - Riser CSA Transocean - Montagem lote 8</t>
  </si>
  <si>
    <t>7J - Riser CSA Transocean - Montagem lote 9</t>
  </si>
  <si>
    <t>6J - Riser CSA Transocean - Montagem lote 10</t>
  </si>
  <si>
    <t>7J - Riser CSA Transocean - Montagem lote 11</t>
  </si>
  <si>
    <t>7J - Riser CSA Transocean - Montagem lote 12</t>
  </si>
  <si>
    <t>6 Employee - July</t>
  </si>
  <si>
    <t>6 Employee - August</t>
  </si>
  <si>
    <t>6 Employee - September</t>
  </si>
  <si>
    <t>6 Employee -December</t>
  </si>
  <si>
    <t>2J - Riser CSA Transocean - Repair - Lote 5</t>
  </si>
  <si>
    <t>1J - Riser CSA Transocean - Repair - Lote 4</t>
  </si>
  <si>
    <t>2J - Riser CSA Transocean - Repair - Lote 6</t>
  </si>
  <si>
    <t>2J - Riser CSA Transocean - Repair - Lote 8</t>
  </si>
  <si>
    <t>2J - Riser CSA Transocean - Repair - Lote 9</t>
  </si>
  <si>
    <t>2J - Riser CSA Transocean - Repair - Lote 11</t>
  </si>
  <si>
    <t>11J Amaralina Star Onshore Base Line Inspection</t>
  </si>
  <si>
    <t>8J Amaralina Star onshore - Major Repair</t>
  </si>
  <si>
    <t>3 Employee - November</t>
  </si>
  <si>
    <t>2 Employee - December</t>
  </si>
  <si>
    <t>CON - H4 Connector FPA ExF - Constellation - Brava Star - 470006270</t>
  </si>
  <si>
    <t>CON-H4 Connector ExF Amaralina Star - Constellation (From by Project) - 470005343</t>
  </si>
  <si>
    <t>12J - Riser CSA Ventura - Inspeção lote 4</t>
  </si>
  <si>
    <t>14J - Riser CSA Ventura - Inspeção lote 5</t>
  </si>
  <si>
    <t>14J - Riser CSA Ventura - Inspeção lote 6</t>
  </si>
  <si>
    <t>VLS - 90 Bolts modification HMF to LK-3.5 - Valaris</t>
  </si>
  <si>
    <t>CON - BOP Annular - Constellation (From by projects) - Lone Star - COS Scope - Fase 2</t>
  </si>
  <si>
    <t>CON - BOP Annular - Constellation (From by projects) - Lone Star - COS Scope - Fase 3</t>
  </si>
  <si>
    <t>4J Amaralina Star onshore - Minor repair</t>
  </si>
  <si>
    <t>30J Amaralina Star Onshore - Major Repair</t>
  </si>
  <si>
    <t>7J Reparo Laguna Star</t>
  </si>
  <si>
    <t>30J Inspeção Brava Star</t>
  </si>
  <si>
    <t>52J - Riser CSA - Inspection onshore from offshore  - Lone Star</t>
  </si>
  <si>
    <t>20J Minor Adjustments - Riser CSA - Lone Star</t>
  </si>
  <si>
    <t>12J Minor Adjustments - Riser CSA - Lone Star SPS</t>
  </si>
  <si>
    <t>52J - Riser CSA - Inspection onshore - Lone Star SPS</t>
  </si>
  <si>
    <t>3 Employee - April</t>
  </si>
  <si>
    <t>3 Employee - May</t>
  </si>
  <si>
    <t>3 Employee - June</t>
  </si>
  <si>
    <t>3J Reparo Laguna Star - From by offshore - Lote 1 of December</t>
  </si>
  <si>
    <t>39J SPS Inspeção Amaralina Star, juntas que virão para onshore</t>
  </si>
  <si>
    <t>Equinor - Gripper Head - Equinor - Peregrino C</t>
  </si>
  <si>
    <t>VLS - TJ Valaris - Troca de selos</t>
  </si>
  <si>
    <t>TOI- Mandrel  D&amp;I- Transocean - 470006562</t>
  </si>
  <si>
    <t>FOR - Bonnet ODN I - 47000xxxx</t>
  </si>
  <si>
    <t>VEN - BOP Annular - Ventura (From by sales) - Carolina</t>
  </si>
  <si>
    <t>NBL - 8x Brake Callipers - Noble (From by Sales)</t>
  </si>
  <si>
    <t>TOI - H4 Connector - Transocean KG2 - SHD (From by sales)</t>
  </si>
  <si>
    <t>CON-Female Stab - Manufacturing Process</t>
  </si>
  <si>
    <t xml:space="preserve">CON-Upper Body Repair LNS - Constellation - Lone Star - 470007311 </t>
  </si>
  <si>
    <t>CON- Mandrel - Constellation - 470007305</t>
  </si>
  <si>
    <t>CON - Diverter Handling Tool - Constellation</t>
  </si>
  <si>
    <t>Forecast 1</t>
  </si>
  <si>
    <t>2027 - Demand (Volumes)</t>
  </si>
  <si>
    <t>July-27</t>
  </si>
  <si>
    <t>August-27</t>
  </si>
  <si>
    <t>September-27</t>
  </si>
  <si>
    <t>October-27</t>
  </si>
  <si>
    <t>November-27</t>
  </si>
  <si>
    <t>December-27</t>
  </si>
  <si>
    <t>Q1 - 2027</t>
  </si>
  <si>
    <t>Q2 - 2027</t>
  </si>
  <si>
    <t>Q3 - 2027</t>
  </si>
  <si>
    <t>Q4 - 2027</t>
  </si>
  <si>
    <t>2027 Demand</t>
  </si>
  <si>
    <t>56J - Riser CSA - Brava Star - Base Line</t>
  </si>
  <si>
    <t>10J - Riser CSA - Laguna Star -  Base Line</t>
  </si>
  <si>
    <t>49J - Riser CSA - Laguna Star - Annual</t>
  </si>
  <si>
    <t>20J SPS Amaralina Star - Major Repair</t>
  </si>
  <si>
    <t>5J Amaralina Star onshore - Major Repair</t>
  </si>
  <si>
    <t>10J Major Repair and Assembly Brava Star</t>
  </si>
  <si>
    <t>5J Major Repair Laguna Star - From by offshore - Lote 2 of January</t>
  </si>
  <si>
    <t>22J Minor Repair and Assembly Brava Star</t>
  </si>
  <si>
    <t>30J SPS Amaralina Star - Minor Repair</t>
  </si>
  <si>
    <t>57J SPS Laguna Star - Minor Repair</t>
  </si>
  <si>
    <t>69J - Riser CSA - Alpha Star - Annual</t>
  </si>
  <si>
    <t>69J - Riser CSA - Gold Star - Annual</t>
  </si>
  <si>
    <t>13J - Riser CSA - Lone Star - Annual</t>
  </si>
  <si>
    <t>4J Major Adjustments - Riser CSA - Lone Star SPS</t>
  </si>
  <si>
    <t>4J - Riser CSA - Alpha Star - Major Repair</t>
  </si>
  <si>
    <t>6J - Riser CSA - Gold Star - Major Repair</t>
  </si>
  <si>
    <t>81J - Riser CSA - Lone Star SPS - Minor Repair</t>
  </si>
  <si>
    <t>13J - Riser CSA - Lone Star SPS - Minor repair</t>
  </si>
  <si>
    <t>45J - Riser CSA - Gold Star SPS - Minor repair</t>
  </si>
  <si>
    <t>40J - Riser CSA - Alpha Star SPS - Minor repair</t>
  </si>
  <si>
    <t>12J - Riser CSA - Amaralina Star -  Base Line</t>
  </si>
  <si>
    <t>2J - Riser CSA - Brava Star -  Base Line</t>
  </si>
  <si>
    <t>13J - Riser CSA - Laguna Star -  Base Line</t>
  </si>
  <si>
    <t>78J - Riser CSA - Amaralina Star -  Anual</t>
  </si>
  <si>
    <t>56J - Riser CSA - Brava Star -  Annual</t>
  </si>
  <si>
    <t>49J - Riser CSA - Laguna Star -  Annual</t>
  </si>
  <si>
    <t>8J - Riser CSA - Amaralina Star - Major Repair</t>
  </si>
  <si>
    <t>8J - Riser CSA - Brava Star - Major Repair</t>
  </si>
  <si>
    <t>8J - Riser CSA - Laguna Star - Major Repair</t>
  </si>
  <si>
    <t>12J - Riser CSA - Amaralina Star - Minor Repair</t>
  </si>
  <si>
    <t>12J - Riser CSA - Brava Star - Minor Repair</t>
  </si>
  <si>
    <t>12J - Riser CSA - Laguna Star - Minor Repair</t>
  </si>
  <si>
    <t>5J - Riser CSA - Alpha Star -  Base Line</t>
  </si>
  <si>
    <t>5J - Riser CSA - Gold Star -  Base Line</t>
  </si>
  <si>
    <t>5J - Riser CSA - Lone Star -  Base Line</t>
  </si>
  <si>
    <t>77J - Riser CSA - Alpha Star -  Anual</t>
  </si>
  <si>
    <t>77J - Riser CSA - Gold Star -  Annual</t>
  </si>
  <si>
    <t>77J - Riser CSA - Lone Star -  Annual</t>
  </si>
  <si>
    <t>10J - Riser CSA - Alpha Star - Major Repair</t>
  </si>
  <si>
    <t>10J - Riser CSA - Gold Star - Major Repair</t>
  </si>
  <si>
    <t>10J - Riser CSA - Lone Star - Major Repair</t>
  </si>
  <si>
    <t>10J - Riser CSA - Alpha Star - Minor Repair</t>
  </si>
  <si>
    <t>10J - Riser CSA - Gold Star - Minor Repair</t>
  </si>
  <si>
    <t>10J - Riser CSA - Lone Star - Minor Repair</t>
  </si>
  <si>
    <t>10J - Riser CSA Ventura - Major Repair</t>
  </si>
  <si>
    <t>64J - Riser CSA Ventura - Baseline</t>
  </si>
  <si>
    <t>54J - Riser CSA Ventura - Minor Repair</t>
  </si>
  <si>
    <t>VLS - Reparo VX / VT Upper SHD - Valaris</t>
  </si>
  <si>
    <t>FOR - Bonnet ODN | - Foresea (From by sales) # 1</t>
  </si>
  <si>
    <t>FOR - Bonnet ODN | - Foresea (From by sales) # 2</t>
  </si>
  <si>
    <t>FOR - Bonnet ODN || - Foresea (From by sales) # 3</t>
  </si>
  <si>
    <t>FOR - Bonnet ODN || - Foresea (From by sales) # 4</t>
  </si>
  <si>
    <t>CON - Bonnet - Constellation - Lone Star 22-5K (From by sales)</t>
  </si>
  <si>
    <t>CON - Bonnet - Constellation - Lone Star 15-3K (From by sales)</t>
  </si>
  <si>
    <t>VEN - Bonnet - Ventura (From by sales / Addressable) # 1</t>
  </si>
  <si>
    <t>VEN - Bonnet - Ventura (From by sales / Addressable) # 2</t>
  </si>
  <si>
    <t>VEN - Bonnet - Ventura (From by sales / Addressable) # 3</t>
  </si>
  <si>
    <t>VEN - Bonnet - Ventura (From by sales / Addressable) # 4</t>
  </si>
  <si>
    <t>VLS - H4 Connector - Valaris DS-04 - ExF (From by Sales)</t>
  </si>
  <si>
    <t>VLS - Bearing System + Inner Barrel TJ Valaris - Aditional Scope - DS08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</si>
</sst>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[$-409]mmmm\-yy;@"/>
  </numFmts>
  <fonts count="20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90C0"/>
        <bgColor indexed="64"/>
      </patternFill>
    </fill>
    <fill>
      <patternFill patternType="solid">
        <fgColor rgb="FFE3303D"/>
        <bgColor indexed="64"/>
      </patternFill>
    </fill>
    <fill>
      <patternFill patternType="solid">
        <fgColor rgb="FFE3303D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2BC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5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5"/>
      </left>
      <right/>
      <top/>
      <bottom style="thin">
        <color indexed="64"/>
      </bottom>
      <diagonal/>
    </border>
    <border>
      <left style="medium">
        <color theme="5"/>
      </left>
      <right/>
      <top style="thin">
        <color indexed="64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/>
      <diagonal/>
    </border>
    <border>
      <left style="medium">
        <color theme="5"/>
      </left>
      <right style="thin">
        <color indexed="64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44">
    <xf numFmtId="0" fontId="0" fillId="0" borderId="0" xfId="0"/>
    <xf numFmtId="0" fontId="0" fillId="6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6" borderId="2" xfId="0" applyFill="1" applyBorder="1"/>
    <xf numFmtId="0" fontId="0" fillId="0" borderId="1" xfId="0" applyBorder="1" applyAlignment="1">
      <alignment horizontal="center" vertical="center"/>
    </xf>
    <xf numFmtId="0" fontId="0" fillId="8" borderId="20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13" fillId="0" borderId="27" xfId="0" applyFont="1" applyBorder="1"/>
    <xf numFmtId="0" fontId="0" fillId="0" borderId="17" xfId="0" applyBorder="1"/>
    <xf numFmtId="0" fontId="0" fillId="0" borderId="31" xfId="0" applyBorder="1"/>
    <xf numFmtId="0" fontId="0" fillId="0" borderId="30" xfId="0" applyBorder="1"/>
    <xf numFmtId="1" fontId="12" fillId="13" borderId="7" xfId="0" applyNumberFormat="1" applyFont="1" applyFill="1" applyBorder="1" applyAlignment="1">
      <alignment horizontal="center" vertical="center"/>
    </xf>
    <xf numFmtId="1" fontId="14" fillId="12" borderId="21" xfId="0" applyNumberFormat="1" applyFont="1" applyFill="1" applyBorder="1" applyAlignment="1">
      <alignment horizontal="center" vertical="center"/>
    </xf>
    <xf numFmtId="1" fontId="12" fillId="13" borderId="7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Border="1" applyAlignment="1">
      <alignment horizontal="center" vertical="center"/>
    </xf>
    <xf numFmtId="1" fontId="12" fillId="8" borderId="7" xfId="0" quotePrefix="1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6" xfId="0" applyBorder="1"/>
    <xf numFmtId="0" fontId="16" fillId="0" borderId="33" xfId="0" applyFont="1" applyBorder="1"/>
    <xf numFmtId="0" fontId="0" fillId="15" borderId="21" xfId="0" applyFill="1" applyBorder="1"/>
    <xf numFmtId="0" fontId="0" fillId="0" borderId="12" xfId="0" applyBorder="1" applyAlignment="1">
      <alignment vertical="center"/>
    </xf>
    <xf numFmtId="0" fontId="0" fillId="0" borderId="27" xfId="0" applyBorder="1" applyAlignment="1">
      <alignment vertical="center"/>
    </xf>
    <xf numFmtId="1" fontId="0" fillId="0" borderId="0" xfId="0" applyNumberFormat="1"/>
    <xf numFmtId="9" fontId="0" fillId="0" borderId="0" xfId="2" applyFont="1"/>
    <xf numFmtId="0" fontId="1" fillId="2" borderId="21" xfId="0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0" fillId="0" borderId="48" xfId="0" applyBorder="1"/>
    <xf numFmtId="0" fontId="0" fillId="0" borderId="49" xfId="0" applyBorder="1"/>
    <xf numFmtId="0" fontId="0" fillId="0" borderId="47" xfId="0" applyBorder="1"/>
    <xf numFmtId="0" fontId="0" fillId="0" borderId="0" xfId="0" applyAlignment="1">
      <alignment horizontal="left" vertical="center"/>
    </xf>
    <xf numFmtId="0" fontId="0" fillId="0" borderId="54" xfId="0" applyBorder="1"/>
    <xf numFmtId="0" fontId="0" fillId="0" borderId="54" xfId="0" applyBorder="1" applyAlignment="1">
      <alignment horizontal="center" vertical="center"/>
    </xf>
    <xf numFmtId="0" fontId="0" fillId="0" borderId="55" xfId="0" applyBorder="1"/>
    <xf numFmtId="0" fontId="0" fillId="0" borderId="57" xfId="0" applyBorder="1"/>
    <xf numFmtId="0" fontId="0" fillId="0" borderId="57" xfId="0" applyBorder="1" applyAlignment="1">
      <alignment horizontal="center" vertical="center"/>
    </xf>
    <xf numFmtId="0" fontId="0" fillId="0" borderId="58" xfId="0" applyBorder="1"/>
    <xf numFmtId="0" fontId="0" fillId="0" borderId="60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12" borderId="63" xfId="0" applyFill="1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0" fillId="12" borderId="68" xfId="0" applyFill="1" applyBorder="1" applyAlignment="1">
      <alignment horizontal="left" vertical="center"/>
    </xf>
    <xf numFmtId="0" fontId="0" fillId="0" borderId="60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70" xfId="0" applyBorder="1" applyAlignment="1">
      <alignment vertical="center"/>
    </xf>
    <xf numFmtId="0" fontId="0" fillId="5" borderId="72" xfId="0" applyFill="1" applyBorder="1"/>
    <xf numFmtId="0" fontId="0" fillId="7" borderId="72" xfId="0" applyFill="1" applyBorder="1"/>
    <xf numFmtId="0" fontId="0" fillId="6" borderId="73" xfId="0" applyFill="1" applyBorder="1"/>
    <xf numFmtId="0" fontId="0" fillId="0" borderId="0" xfId="0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8" borderId="21" xfId="0" applyFont="1" applyFill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" fontId="0" fillId="0" borderId="83" xfId="0" applyNumberForma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" fontId="0" fillId="11" borderId="14" xfId="0" applyNumberFormat="1" applyFill="1" applyBorder="1" applyAlignment="1">
      <alignment horizontal="center" vertical="center"/>
    </xf>
    <xf numFmtId="49" fontId="0" fillId="0" borderId="57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/>
    </xf>
    <xf numFmtId="0" fontId="0" fillId="6" borderId="4" xfId="0" applyFill="1" applyBorder="1"/>
    <xf numFmtId="0" fontId="0" fillId="7" borderId="14" xfId="0" applyFill="1" applyBorder="1"/>
    <xf numFmtId="0" fontId="0" fillId="5" borderId="14" xfId="0" applyFill="1" applyBorder="1"/>
    <xf numFmtId="0" fontId="0" fillId="0" borderId="82" xfId="0" applyBorder="1"/>
    <xf numFmtId="0" fontId="0" fillId="0" borderId="84" xfId="0" applyBorder="1" applyAlignment="1">
      <alignment horizontal="center" vertical="center"/>
    </xf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164" fontId="0" fillId="0" borderId="79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0" xfId="0" applyNumberFormat="1"/>
    <xf numFmtId="2" fontId="0" fillId="0" borderId="57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12" fillId="0" borderId="57" xfId="0" applyNumberFormat="1" applyFont="1" applyBorder="1" applyAlignment="1">
      <alignment horizontal="center" vertical="center"/>
    </xf>
    <xf numFmtId="0" fontId="8" fillId="10" borderId="27" xfId="0" applyFont="1" applyFill="1" applyBorder="1" applyAlignment="1">
      <alignment horizontal="left" vertical="center" wrapText="1"/>
    </xf>
    <xf numFmtId="0" fontId="0" fillId="8" borderId="2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27" xfId="0" applyBorder="1"/>
    <xf numFmtId="0" fontId="11" fillId="9" borderId="27" xfId="0" applyFont="1" applyFill="1" applyBorder="1" applyAlignment="1">
      <alignment vertical="center"/>
    </xf>
    <xf numFmtId="0" fontId="11" fillId="9" borderId="21" xfId="0" applyFont="1" applyFill="1" applyBorder="1" applyAlignment="1">
      <alignment horizontal="center" vertical="center"/>
    </xf>
    <xf numFmtId="0" fontId="16" fillId="0" borderId="0" xfId="0" applyFont="1"/>
    <xf numFmtId="0" fontId="0" fillId="15" borderId="7" xfId="0" applyFill="1" applyBorder="1"/>
    <xf numFmtId="0" fontId="17" fillId="0" borderId="0" xfId="0" applyFont="1"/>
    <xf numFmtId="0" fontId="13" fillId="0" borderId="0" xfId="0" applyFont="1"/>
    <xf numFmtId="0" fontId="8" fillId="2" borderId="71" xfId="0" applyFont="1" applyFill="1" applyBorder="1" applyAlignment="1">
      <alignment horizontal="left" vertical="center" wrapText="1"/>
    </xf>
    <xf numFmtId="0" fontId="8" fillId="2" borderId="69" xfId="0" applyFont="1" applyFill="1" applyBorder="1" applyAlignment="1">
      <alignment horizontal="left" vertical="center" wrapText="1"/>
    </xf>
    <xf numFmtId="0" fontId="16" fillId="0" borderId="17" xfId="0" applyFont="1" applyBorder="1"/>
    <xf numFmtId="0" fontId="16" fillId="0" borderId="18" xfId="0" applyFont="1" applyBorder="1"/>
    <xf numFmtId="0" fontId="0" fillId="0" borderId="33" xfId="0" applyBorder="1"/>
    <xf numFmtId="1" fontId="0" fillId="8" borderId="57" xfId="0" applyNumberFormat="1" applyFill="1" applyBorder="1" applyAlignment="1">
      <alignment horizontal="center" vertical="center"/>
    </xf>
    <xf numFmtId="49" fontId="0" fillId="0" borderId="90" xfId="0" applyNumberFormat="1" applyBorder="1" applyAlignment="1">
      <alignment horizontal="center" vertical="center"/>
    </xf>
    <xf numFmtId="165" fontId="5" fillId="17" borderId="8" xfId="0" applyNumberFormat="1" applyFont="1" applyFill="1" applyBorder="1" applyAlignment="1">
      <alignment horizontal="center" vertical="center" wrapText="1"/>
    </xf>
    <xf numFmtId="0" fontId="1" fillId="10" borderId="0" xfId="0" applyFont="1" applyFill="1" applyAlignment="1">
      <alignment vertical="center" wrapText="1"/>
    </xf>
    <xf numFmtId="0" fontId="1" fillId="10" borderId="0" xfId="0" applyFont="1" applyFill="1" applyAlignment="1">
      <alignment horizontal="left" vertical="center" wrapText="1"/>
    </xf>
    <xf numFmtId="1" fontId="0" fillId="0" borderId="91" xfId="0" applyNumberFormat="1" applyBorder="1" applyAlignment="1">
      <alignment horizontal="center" vertical="center"/>
    </xf>
    <xf numFmtId="1" fontId="0" fillId="0" borderId="92" xfId="0" applyNumberFormat="1" applyBorder="1" applyAlignment="1">
      <alignment horizontal="center" vertical="center"/>
    </xf>
    <xf numFmtId="165" fontId="5" fillId="17" borderId="18" xfId="0" applyNumberFormat="1" applyFont="1" applyFill="1" applyBorder="1" applyAlignment="1">
      <alignment horizontal="center" vertical="center" wrapText="1"/>
    </xf>
    <xf numFmtId="49" fontId="0" fillId="0" borderId="28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left" vertical="center"/>
    </xf>
    <xf numFmtId="2" fontId="0" fillId="0" borderId="28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11" borderId="3" xfId="0" applyNumberFormat="1" applyFill="1" applyBorder="1" applyAlignment="1">
      <alignment horizontal="center" vertical="center"/>
    </xf>
    <xf numFmtId="1" fontId="0" fillId="11" borderId="9" xfId="0" applyNumberFormat="1" applyFill="1" applyBorder="1" applyAlignment="1">
      <alignment horizontal="center" vertical="center"/>
    </xf>
    <xf numFmtId="1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1" fontId="12" fillId="15" borderId="41" xfId="0" applyNumberFormat="1" applyFont="1" applyFill="1" applyBorder="1" applyAlignment="1">
      <alignment horizontal="center" vertical="center"/>
    </xf>
    <xf numFmtId="1" fontId="12" fillId="15" borderId="1" xfId="0" applyNumberFormat="1" applyFont="1" applyFill="1" applyBorder="1" applyAlignment="1">
      <alignment horizontal="center" vertical="center"/>
    </xf>
    <xf numFmtId="1" fontId="12" fillId="15" borderId="25" xfId="0" applyNumberFormat="1" applyFont="1" applyFill="1" applyBorder="1" applyAlignment="1">
      <alignment horizontal="center" vertical="center"/>
    </xf>
    <xf numFmtId="1" fontId="12" fillId="15" borderId="24" xfId="0" applyNumberFormat="1" applyFont="1" applyFill="1" applyBorder="1" applyAlignment="1">
      <alignment horizontal="center" vertical="center"/>
    </xf>
    <xf numFmtId="1" fontId="12" fillId="15" borderId="80" xfId="0" applyNumberFormat="1" applyFont="1" applyFill="1" applyBorder="1" applyAlignment="1">
      <alignment horizontal="center" vertical="center"/>
    </xf>
    <xf numFmtId="1" fontId="12" fillId="15" borderId="81" xfId="0" applyNumberFormat="1" applyFont="1" applyFill="1" applyBorder="1" applyAlignment="1">
      <alignment horizontal="center" vertical="center"/>
    </xf>
    <xf numFmtId="1" fontId="12" fillId="15" borderId="38" xfId="0" applyNumberFormat="1" applyFont="1" applyFill="1" applyBorder="1" applyAlignment="1">
      <alignment horizontal="center" vertical="center"/>
    </xf>
    <xf numFmtId="1" fontId="12" fillId="15" borderId="39" xfId="0" applyNumberFormat="1" applyFont="1" applyFill="1" applyBorder="1" applyAlignment="1">
      <alignment horizontal="center" vertical="center"/>
    </xf>
    <xf numFmtId="1" fontId="12" fillId="15" borderId="37" xfId="0" applyNumberFormat="1" applyFont="1" applyFill="1" applyBorder="1" applyAlignment="1">
      <alignment horizontal="center" vertical="center"/>
    </xf>
    <xf numFmtId="1" fontId="12" fillId="15" borderId="22" xfId="0" applyNumberFormat="1" applyFont="1" applyFill="1" applyBorder="1" applyAlignment="1">
      <alignment horizontal="center" vertical="center"/>
    </xf>
    <xf numFmtId="1" fontId="12" fillId="15" borderId="13" xfId="0" applyNumberFormat="1" applyFont="1" applyFill="1" applyBorder="1" applyAlignment="1">
      <alignment horizontal="center" vertical="center"/>
    </xf>
    <xf numFmtId="1" fontId="12" fillId="15" borderId="23" xfId="0" applyNumberFormat="1" applyFont="1" applyFill="1" applyBorder="1" applyAlignment="1">
      <alignment horizontal="center" vertical="center"/>
    </xf>
    <xf numFmtId="0" fontId="0" fillId="0" borderId="0" xfId="2" applyNumberFormat="1" applyFont="1"/>
    <xf numFmtId="2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1" fontId="12" fillId="15" borderId="96" xfId="0" applyNumberFormat="1" applyFont="1" applyFill="1" applyBorder="1" applyAlignment="1">
      <alignment horizontal="center" vertical="center"/>
    </xf>
    <xf numFmtId="1" fontId="12" fillId="15" borderId="14" xfId="0" applyNumberFormat="1" applyFont="1" applyFill="1" applyBorder="1" applyAlignment="1">
      <alignment horizontal="center" vertical="center"/>
    </xf>
    <xf numFmtId="1" fontId="12" fillId="15" borderId="40" xfId="0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9" fontId="3" fillId="0" borderId="57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left" vertical="center"/>
    </xf>
    <xf numFmtId="2" fontId="3" fillId="0" borderId="15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11" borderId="1" xfId="0" applyNumberFormat="1" applyFont="1" applyFill="1" applyBorder="1" applyAlignment="1">
      <alignment horizontal="center" vertical="center"/>
    </xf>
    <xf numFmtId="1" fontId="3" fillId="11" borderId="14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8" xfId="0" applyNumberFormat="1" applyFont="1" applyBorder="1" applyAlignment="1">
      <alignment horizontal="center" vertical="center"/>
    </xf>
    <xf numFmtId="1" fontId="4" fillId="0" borderId="39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1" fontId="0" fillId="0" borderId="0" xfId="2" applyNumberFormat="1" applyFont="1" applyFill="1" applyBorder="1" applyAlignment="1">
      <alignment horizontal="center" vertical="center"/>
    </xf>
    <xf numFmtId="9" fontId="10" fillId="0" borderId="0" xfId="2" applyFont="1" applyFill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8" fillId="12" borderId="16" xfId="0" applyFont="1" applyFill="1" applyBorder="1" applyAlignment="1">
      <alignment horizontal="center" vertical="center"/>
    </xf>
    <xf numFmtId="0" fontId="18" fillId="12" borderId="36" xfId="0" applyFont="1" applyFill="1" applyBorder="1" applyAlignment="1">
      <alignment horizontal="center" vertical="center"/>
    </xf>
    <xf numFmtId="0" fontId="18" fillId="12" borderId="32" xfId="0" applyFont="1" applyFill="1" applyBorder="1" applyAlignment="1">
      <alignment horizontal="center" vertical="center"/>
    </xf>
    <xf numFmtId="0" fontId="18" fillId="12" borderId="18" xfId="0" applyFont="1" applyFill="1" applyBorder="1" applyAlignment="1">
      <alignment horizontal="center" vertical="center"/>
    </xf>
    <xf numFmtId="0" fontId="18" fillId="12" borderId="33" xfId="0" applyFont="1" applyFill="1" applyBorder="1" applyAlignment="1">
      <alignment horizontal="center" vertical="center"/>
    </xf>
    <xf numFmtId="0" fontId="18" fillId="12" borderId="30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9" fillId="12" borderId="89" xfId="0" applyFont="1" applyFill="1" applyBorder="1" applyAlignment="1">
      <alignment horizontal="center" vertical="center" wrapText="1"/>
    </xf>
    <xf numFmtId="0" fontId="9" fillId="12" borderId="78" xfId="0" applyFont="1" applyFill="1" applyBorder="1" applyAlignment="1">
      <alignment horizontal="center" vertical="center" wrapText="1"/>
    </xf>
    <xf numFmtId="0" fontId="9" fillId="12" borderId="64" xfId="0" applyFont="1" applyFill="1" applyBorder="1" applyAlignment="1">
      <alignment horizontal="center" vertical="center" wrapText="1"/>
    </xf>
    <xf numFmtId="0" fontId="0" fillId="16" borderId="27" xfId="0" applyFill="1" applyBorder="1" applyAlignment="1">
      <alignment horizontal="left" vertical="center"/>
    </xf>
    <xf numFmtId="0" fontId="0" fillId="16" borderId="12" xfId="0" applyFill="1" applyBorder="1" applyAlignment="1">
      <alignment horizontal="left" vertical="center"/>
    </xf>
    <xf numFmtId="0" fontId="0" fillId="16" borderId="5" xfId="0" applyFill="1" applyBorder="1" applyAlignment="1">
      <alignment horizontal="left" vertical="center"/>
    </xf>
    <xf numFmtId="0" fontId="18" fillId="12" borderId="52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0" xfId="0" applyBorder="1" applyAlignment="1">
      <alignment horizontal="left"/>
    </xf>
    <xf numFmtId="0" fontId="9" fillId="11" borderId="27" xfId="0" applyFont="1" applyFill="1" applyBorder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13" fillId="14" borderId="16" xfId="0" applyFont="1" applyFill="1" applyBorder="1" applyAlignment="1">
      <alignment horizontal="center" vertical="center"/>
    </xf>
    <xf numFmtId="0" fontId="13" fillId="14" borderId="17" xfId="0" applyFont="1" applyFill="1" applyBorder="1" applyAlignment="1">
      <alignment horizontal="center" vertical="center"/>
    </xf>
    <xf numFmtId="0" fontId="8" fillId="5" borderId="77" xfId="0" applyFont="1" applyFill="1" applyBorder="1" applyAlignment="1">
      <alignment horizontal="center" vertical="center"/>
    </xf>
    <xf numFmtId="0" fontId="8" fillId="5" borderId="75" xfId="0" applyFont="1" applyFill="1" applyBorder="1" applyAlignment="1">
      <alignment horizontal="center" vertical="center"/>
    </xf>
    <xf numFmtId="0" fontId="18" fillId="12" borderId="76" xfId="0" applyFont="1" applyFill="1" applyBorder="1" applyAlignment="1">
      <alignment horizontal="center" vertical="center"/>
    </xf>
    <xf numFmtId="0" fontId="18" fillId="12" borderId="74" xfId="0" applyFont="1" applyFill="1" applyBorder="1" applyAlignment="1">
      <alignment horizontal="center" vertical="center"/>
    </xf>
    <xf numFmtId="0" fontId="0" fillId="0" borderId="70" xfId="0" applyBorder="1" applyAlignment="1">
      <alignment horizontal="left" vertical="center"/>
    </xf>
    <xf numFmtId="0" fontId="8" fillId="2" borderId="59" xfId="0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0" fillId="0" borderId="44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2" xfId="0" applyBorder="1" applyAlignment="1">
      <alignment horizontal="left"/>
    </xf>
    <xf numFmtId="0" fontId="9" fillId="12" borderId="7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textRotation="90" wrapText="1"/>
    </xf>
    <xf numFmtId="0" fontId="15" fillId="10" borderId="7" xfId="0" applyFont="1" applyFill="1" applyBorder="1" applyAlignment="1">
      <alignment horizontal="center" vertical="center" textRotation="90" wrapText="1"/>
    </xf>
    <xf numFmtId="0" fontId="15" fillId="10" borderId="8" xfId="0" applyFont="1" applyFill="1" applyBorder="1" applyAlignment="1">
      <alignment horizontal="center" vertical="center" textRotation="90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1" fillId="9" borderId="27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3">
    <cellStyle name="Comma 2" xfId="1" xr:uid="{263B6012-AA55-4243-BE69-AD098B1747FE}"/>
    <cellStyle name="Normal" xfId="0" builtinId="0"/>
    <cellStyle name="Percent" xfId="2" builtinId="5"/>
  </cellStyles>
  <dxfs count="55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9.9948118533890809E-2"/>
        </patternFill>
      </fill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5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left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  <numFmt numFmtId="165" formatCode="[$-409]mmmm\-yy;@"/>
      <fill>
        <patternFill patternType="solid">
          <fgColor indexed="64"/>
          <bgColor rgb="FF0092B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FFFB3"/>
      <color rgb="FFFEFEF0"/>
      <color rgb="FFE3303D"/>
      <color rgb="FF0092BC"/>
      <color rgb="FF086385"/>
      <color rgb="FF13501B"/>
      <color rgb="FF196924"/>
      <color rgb="FF428C28"/>
      <color rgb="FF4B4B4B"/>
      <color rgb="FF5C5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69848575293789E-2"/>
          <c:y val="0.10893510473202291"/>
          <c:w val="0.97086021280326074"/>
          <c:h val="0.83689640112617203"/>
        </c:manualLayout>
      </c:layout>
      <c:areaChart>
        <c:grouping val="stacked"/>
        <c:varyColors val="0"/>
        <c:ser>
          <c:idx val="2"/>
          <c:order val="0"/>
          <c:tx>
            <c:strRef>
              <c:f>'RCCP SAM'!$AO$44</c:f>
              <c:strCache>
                <c:ptCount val="1"/>
                <c:pt idx="0">
                  <c:v>Riser Firm</c:v>
                </c:pt>
              </c:strCache>
            </c:strRef>
          </c:tx>
          <c:spPr>
            <a:solidFill>
              <a:srgbClr val="13501B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SAM'!$AP$44:$BB$44</c15:sqref>
                  </c15:fullRef>
                </c:ext>
              </c:extLst>
              <c:f>'RCCP SAM'!$AT$44:$BB$44</c:f>
              <c:numCache>
                <c:formatCode>0</c:formatCode>
                <c:ptCount val="9"/>
                <c:pt idx="0">
                  <c:v>30886.6</c:v>
                </c:pt>
                <c:pt idx="1">
                  <c:v>29803.599999999999</c:v>
                </c:pt>
                <c:pt idx="2">
                  <c:v>8602</c:v>
                </c:pt>
                <c:pt idx="3">
                  <c:v>10677</c:v>
                </c:pt>
                <c:pt idx="4">
                  <c:v>14615</c:v>
                </c:pt>
                <c:pt idx="5">
                  <c:v>8227.8000000000011</c:v>
                </c:pt>
                <c:pt idx="6">
                  <c:v>7865.2000000000007</c:v>
                </c:pt>
                <c:pt idx="7">
                  <c:v>9091.7999999999993</c:v>
                </c:pt>
                <c:pt idx="8">
                  <c:v>13062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C43-43A2-9039-2E05C46C430E}"/>
            </c:ext>
          </c:extLst>
        </c:ser>
        <c:ser>
          <c:idx val="0"/>
          <c:order val="1"/>
          <c:tx>
            <c:strRef>
              <c:f>'RCCP SAM'!$AO$45</c:f>
              <c:strCache>
                <c:ptCount val="1"/>
                <c:pt idx="0">
                  <c:v>Pressure Control Firm</c:v>
                </c:pt>
              </c:strCache>
            </c:strRef>
          </c:tx>
          <c:spPr>
            <a:solidFill>
              <a:srgbClr val="196924"/>
            </a:solidFill>
            <a:ln>
              <a:solidFill>
                <a:srgbClr val="428C28"/>
              </a:solidFill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SAM'!$AP$45:$BB$45</c15:sqref>
                  </c15:fullRef>
                </c:ext>
              </c:extLst>
              <c:f>'RCCP SAM'!$AT$45:$BB$45</c:f>
              <c:numCache>
                <c:formatCode>0</c:formatCode>
                <c:ptCount val="9"/>
                <c:pt idx="0">
                  <c:v>7360.3333333333339</c:v>
                </c:pt>
                <c:pt idx="1">
                  <c:v>4152</c:v>
                </c:pt>
                <c:pt idx="2">
                  <c:v>556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3-43A2-9039-2E05C46C430E}"/>
            </c:ext>
          </c:extLst>
        </c:ser>
        <c:ser>
          <c:idx val="1"/>
          <c:order val="2"/>
          <c:tx>
            <c:strRef>
              <c:f>'RCCP SAM'!$AO$46</c:f>
              <c:strCache>
                <c:ptCount val="1"/>
                <c:pt idx="0">
                  <c:v>Topside Firm</c:v>
                </c:pt>
              </c:strCache>
            </c:strRef>
          </c:tx>
          <c:spPr>
            <a:solidFill>
              <a:srgbClr val="428C28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SAM'!$AP$46:$BB$46</c15:sqref>
                  </c15:fullRef>
                </c:ext>
              </c:extLst>
              <c:f>'RCCP SAM'!$AT$46:$BB$46</c:f>
              <c:numCache>
                <c:formatCode>0</c:formatCode>
                <c:ptCount val="9"/>
                <c:pt idx="0">
                  <c:v>3171.166666666667</c:v>
                </c:pt>
                <c:pt idx="1">
                  <c:v>3268</c:v>
                </c:pt>
                <c:pt idx="2">
                  <c:v>586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43-43A2-9039-2E05C46C430E}"/>
            </c:ext>
          </c:extLst>
        </c:ser>
        <c:ser>
          <c:idx val="3"/>
          <c:order val="3"/>
          <c:tx>
            <c:strRef>
              <c:f>'RCCP SAM'!$AO$47</c:f>
              <c:strCache>
                <c:ptCount val="1"/>
                <c:pt idx="0">
                  <c:v>Offshore &amp; Other Firm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SAM'!$AP$47:$BB$47</c15:sqref>
                  </c15:fullRef>
                </c:ext>
              </c:extLst>
              <c:f>'RCCP SAM'!$AT$47:$BB$47</c:f>
              <c:numCache>
                <c:formatCode>0</c:formatCode>
                <c:ptCount val="9"/>
                <c:pt idx="0">
                  <c:v>1310</c:v>
                </c:pt>
                <c:pt idx="1">
                  <c:v>1140</c:v>
                </c:pt>
                <c:pt idx="2">
                  <c:v>260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43-43A2-9039-2E05C46C430E}"/>
            </c:ext>
          </c:extLst>
        </c:ser>
        <c:ser>
          <c:idx val="4"/>
          <c:order val="4"/>
          <c:tx>
            <c:strRef>
              <c:f>'RCCP SAM'!$AO$48</c:f>
              <c:strCache>
                <c:ptCount val="1"/>
                <c:pt idx="0">
                  <c:v>Riser Risk Release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SAM'!$AP$48:$BB$48</c15:sqref>
                  </c15:fullRef>
                </c:ext>
              </c:extLst>
              <c:f>'RCCP SAM'!$AT$48:$BB$48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2C43-43A2-9039-2E05C46C430E}"/>
            </c:ext>
          </c:extLst>
        </c:ser>
        <c:ser>
          <c:idx val="5"/>
          <c:order val="5"/>
          <c:tx>
            <c:strRef>
              <c:f>'RCCP SAM'!$AO$49</c:f>
              <c:strCache>
                <c:ptCount val="1"/>
                <c:pt idx="0">
                  <c:v>Pressure Control Risk Release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SAM'!$AP$49:$BB$49</c15:sqref>
                  </c15:fullRef>
                </c:ext>
              </c:extLst>
              <c:f>'RCCP SAM'!$AT$49:$BB$49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2C43-43A2-9039-2E05C46C430E}"/>
            </c:ext>
          </c:extLst>
        </c:ser>
        <c:ser>
          <c:idx val="6"/>
          <c:order val="6"/>
          <c:tx>
            <c:strRef>
              <c:f>'RCCP SAM'!$AO$50</c:f>
              <c:strCache>
                <c:ptCount val="1"/>
                <c:pt idx="0">
                  <c:v>Topside Risk Release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SAM'!$AP$50:$BB$50</c15:sqref>
                  </c15:fullRef>
                </c:ext>
              </c:extLst>
              <c:f>'RCCP SAM'!$AT$50:$BB$50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2C43-43A2-9039-2E05C46C430E}"/>
            </c:ext>
          </c:extLst>
        </c:ser>
        <c:ser>
          <c:idx val="7"/>
          <c:order val="7"/>
          <c:tx>
            <c:strRef>
              <c:f>'RCCP SAM'!$AO$51</c:f>
              <c:strCache>
                <c:ptCount val="1"/>
                <c:pt idx="0">
                  <c:v>Offshore &amp; Other Risk Release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SAM'!$AP$51:$BB$51</c15:sqref>
                  </c15:fullRef>
                </c:ext>
              </c:extLst>
              <c:f>'RCCP SAM'!$AT$51:$BB$51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C43-43A2-9039-2E05C46C430E}"/>
            </c:ext>
          </c:extLst>
        </c:ser>
        <c:ser>
          <c:idx val="8"/>
          <c:order val="8"/>
          <c:tx>
            <c:strRef>
              <c:f>'RCCP SAM'!$AO$52</c:f>
              <c:strCache>
                <c:ptCount val="1"/>
                <c:pt idx="0">
                  <c:v>Riser Forecast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SAM'!$AP$52:$BB$52</c15:sqref>
                  </c15:fullRef>
                </c:ext>
              </c:extLst>
              <c:f>'RCCP SAM'!$AT$52:$BB$52</c:f>
              <c:numCache>
                <c:formatCode>0</c:formatCode>
                <c:ptCount val="9"/>
                <c:pt idx="0">
                  <c:v>0</c:v>
                </c:pt>
                <c:pt idx="1">
                  <c:v>300</c:v>
                </c:pt>
                <c:pt idx="2">
                  <c:v>0</c:v>
                </c:pt>
                <c:pt idx="3">
                  <c:v>8250.7999999999993</c:v>
                </c:pt>
                <c:pt idx="4">
                  <c:v>10751.199999999999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43-43A2-9039-2E05C46C430E}"/>
            </c:ext>
          </c:extLst>
        </c:ser>
        <c:ser>
          <c:idx val="9"/>
          <c:order val="9"/>
          <c:tx>
            <c:strRef>
              <c:f>'RCCP SAM'!$AO$53</c:f>
              <c:strCache>
                <c:ptCount val="1"/>
                <c:pt idx="0">
                  <c:v>Pressure Control Forecast</c:v>
                </c:pt>
              </c:strCache>
            </c:strRef>
          </c:tx>
          <c:spPr>
            <a:solidFill>
              <a:srgbClr val="4B4B4B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SAM'!$AP$53:$BB$53</c15:sqref>
                  </c15:fullRef>
                </c:ext>
              </c:extLst>
              <c:f>'RCCP SAM'!$AT$53:$BB$53</c:f>
              <c:numCache>
                <c:formatCode>0</c:formatCode>
                <c:ptCount val="9"/>
                <c:pt idx="0">
                  <c:v>0</c:v>
                </c:pt>
                <c:pt idx="1">
                  <c:v>1250.6666666666665</c:v>
                </c:pt>
                <c:pt idx="2">
                  <c:v>3919.9999999999995</c:v>
                </c:pt>
                <c:pt idx="3">
                  <c:v>4344</c:v>
                </c:pt>
                <c:pt idx="4">
                  <c:v>2609.333333333333</c:v>
                </c:pt>
                <c:pt idx="5">
                  <c:v>1500</c:v>
                </c:pt>
                <c:pt idx="6">
                  <c:v>1000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43-43A2-9039-2E05C46C430E}"/>
            </c:ext>
          </c:extLst>
        </c:ser>
        <c:ser>
          <c:idx val="10"/>
          <c:order val="10"/>
          <c:tx>
            <c:strRef>
              <c:f>'RCCP SAM'!$AO$54</c:f>
              <c:strCache>
                <c:ptCount val="1"/>
                <c:pt idx="0">
                  <c:v>Topside Forecast</c:v>
                </c:pt>
              </c:strCache>
            </c:strRef>
          </c:tx>
          <c:spPr>
            <a:solidFill>
              <a:srgbClr val="5C5C5C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SAM'!$AP$54:$BB$54</c15:sqref>
                  </c15:fullRef>
                </c:ext>
              </c:extLst>
              <c:f>'RCCP SAM'!$AT$54:$BB$54</c:f>
              <c:numCache>
                <c:formatCode>0</c:formatCode>
                <c:ptCount val="9"/>
                <c:pt idx="0">
                  <c:v>0</c:v>
                </c:pt>
                <c:pt idx="1">
                  <c:v>1682.0000000000002</c:v>
                </c:pt>
                <c:pt idx="2">
                  <c:v>6560</c:v>
                </c:pt>
                <c:pt idx="3">
                  <c:v>3325.3333333333335</c:v>
                </c:pt>
                <c:pt idx="4">
                  <c:v>2116.666666666667</c:v>
                </c:pt>
                <c:pt idx="5">
                  <c:v>1083.3333333333333</c:v>
                </c:pt>
                <c:pt idx="6">
                  <c:v>833.33333333333326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43-43A2-9039-2E05C46C430E}"/>
            </c:ext>
          </c:extLst>
        </c:ser>
        <c:ser>
          <c:idx val="11"/>
          <c:order val="11"/>
          <c:tx>
            <c:strRef>
              <c:f>'RCCP SAM'!$AO$55</c:f>
              <c:strCache>
                <c:ptCount val="1"/>
                <c:pt idx="0">
                  <c:v>Offshore &amp; Other Forecast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SAM'!$AP$55:$BB$55</c15:sqref>
                  </c15:fullRef>
                </c:ext>
              </c:extLst>
              <c:f>'RCCP SAM'!$AT$55:$BB$55</c:f>
              <c:numCache>
                <c:formatCode>0</c:formatCode>
                <c:ptCount val="9"/>
                <c:pt idx="0">
                  <c:v>0</c:v>
                </c:pt>
                <c:pt idx="1">
                  <c:v>840</c:v>
                </c:pt>
                <c:pt idx="2">
                  <c:v>1390</c:v>
                </c:pt>
                <c:pt idx="3">
                  <c:v>1980</c:v>
                </c:pt>
                <c:pt idx="4">
                  <c:v>1980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C43-43A2-9039-2E05C46C4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9855"/>
        <c:axId val="20760271"/>
        <c:extLst/>
      </c:areaChart>
      <c:lineChart>
        <c:grouping val="standard"/>
        <c:varyColors val="0"/>
        <c:ser>
          <c:idx val="12"/>
          <c:order val="12"/>
          <c:tx>
            <c:strRef>
              <c:f>'RCCP SAM'!$AO$56</c:f>
              <c:strCache>
                <c:ptCount val="1"/>
                <c:pt idx="0">
                  <c:v>HMH Capacity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Grandview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SAM'!$AP$56:$BB$56</c15:sqref>
                  </c15:fullRef>
                </c:ext>
              </c:extLst>
              <c:f>'RCCP SAM'!$AT$56:$BB$56</c:f>
              <c:numCache>
                <c:formatCode>0</c:formatCode>
                <c:ptCount val="9"/>
                <c:pt idx="0">
                  <c:v>21112.400000000001</c:v>
                </c:pt>
                <c:pt idx="1">
                  <c:v>19630.600000000002</c:v>
                </c:pt>
                <c:pt idx="2">
                  <c:v>16261.2</c:v>
                </c:pt>
                <c:pt idx="3">
                  <c:v>17829.600000000002</c:v>
                </c:pt>
                <c:pt idx="4">
                  <c:v>20042.000000000004</c:v>
                </c:pt>
                <c:pt idx="5">
                  <c:v>20091</c:v>
                </c:pt>
                <c:pt idx="6">
                  <c:v>20091</c:v>
                </c:pt>
                <c:pt idx="7">
                  <c:v>22022.000000000004</c:v>
                </c:pt>
                <c:pt idx="8">
                  <c:v>22022.000000000004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43-43A2-9039-2E05C46C430E}"/>
            </c:ext>
          </c:extLst>
        </c:ser>
        <c:ser>
          <c:idx val="13"/>
          <c:order val="13"/>
          <c:tx>
            <c:strRef>
              <c:f>'RCCP SAM'!$AO$57</c:f>
              <c:strCache>
                <c:ptCount val="1"/>
                <c:pt idx="0">
                  <c:v>Contractors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2"/>
                    </a:solidFill>
                    <a:latin typeface="Grandview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SAM'!$AP$57:$BB$57</c15:sqref>
                  </c15:fullRef>
                </c:ext>
              </c:extLst>
              <c:f>'RCCP SAM'!$AT$57:$BB$57</c:f>
              <c:numCache>
                <c:formatCode>0</c:formatCode>
                <c:ptCount val="9"/>
                <c:pt idx="0">
                  <c:v>38466</c:v>
                </c:pt>
                <c:pt idx="1">
                  <c:v>37136.293333333335</c:v>
                </c:pt>
                <c:pt idx="2">
                  <c:v>21901.120000000003</c:v>
                </c:pt>
                <c:pt idx="3">
                  <c:v>22616.800000000003</c:v>
                </c:pt>
                <c:pt idx="4">
                  <c:v>26774.000000000004</c:v>
                </c:pt>
                <c:pt idx="5">
                  <c:v>20091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C43-43A2-9039-2E05C46C430E}"/>
            </c:ext>
          </c:extLst>
        </c:ser>
        <c:ser>
          <c:idx val="18"/>
          <c:order val="18"/>
          <c:tx>
            <c:strRef>
              <c:f>'RCCP SAM'!$AO$62</c:f>
              <c:strCache>
                <c:ptCount val="1"/>
                <c:pt idx="0">
                  <c:v>Overtime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/>
                    </a:solidFill>
                    <a:latin typeface="Grandview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SAM'!$AP$62:$BB$62</c15:sqref>
                  </c15:fullRef>
                </c:ext>
              </c:extLst>
              <c:f>'RCCP SAM'!$AT$62:$BB$62</c:f>
              <c:numCache>
                <c:formatCode>0</c:formatCode>
                <c:ptCount val="9"/>
                <c:pt idx="0">
                  <c:v>42728.1</c:v>
                </c:pt>
                <c:pt idx="1">
                  <c:v>42436.266666666663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A-496A-A7F5-5003CF691C2D}"/>
            </c:ext>
          </c:extLst>
        </c:ser>
        <c:ser>
          <c:idx val="19"/>
          <c:order val="19"/>
          <c:tx>
            <c:strRef>
              <c:f>'RCCP SAM'!$AO$63</c:f>
              <c:strCache>
                <c:ptCount val="1"/>
                <c:pt idx="0">
                  <c:v>Firm + Risk Release + Forecast </c:v>
                </c:pt>
              </c:strCache>
            </c:strRef>
          </c:tx>
          <c:spPr>
            <a:ln w="31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Grandview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'RCCP SAM'!$AP$43:$BB$43</c15:sqref>
                  </c15:fullRef>
                </c:ext>
              </c:extLst>
              <c:f>'RCCP SAM'!$AT$43:$BB$43</c:f>
              <c:strCache>
                <c:ptCount val="9"/>
                <c:pt idx="0">
                  <c:v>Q4 - 2025</c:v>
                </c:pt>
                <c:pt idx="1">
                  <c:v>Q1 - 2026</c:v>
                </c:pt>
                <c:pt idx="2">
                  <c:v>Q2 - 2026</c:v>
                </c:pt>
                <c:pt idx="3">
                  <c:v>Q3 - 2026</c:v>
                </c:pt>
                <c:pt idx="4">
                  <c:v>Q4 - 2026</c:v>
                </c:pt>
                <c:pt idx="5">
                  <c:v>Q1 - 2027</c:v>
                </c:pt>
                <c:pt idx="6">
                  <c:v>Q2 - 2027</c:v>
                </c:pt>
                <c:pt idx="7">
                  <c:v>Q3 - 2027</c:v>
                </c:pt>
                <c:pt idx="8">
                  <c:v>Q4 - 2027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'RCCP SAM'!$AP$63:$BB$63</c15:sqref>
                  </c15:fullRef>
                </c:ext>
              </c:extLst>
              <c:f>'RCCP SAM'!$AT$63:$BB$63</c:f>
              <c:numCache>
                <c:formatCode>0</c:formatCode>
                <c:ptCount val="9"/>
                <c:pt idx="0">
                  <c:v>42728.1</c:v>
                </c:pt>
                <c:pt idx="1">
                  <c:v>42436.266666666663</c:v>
                </c:pt>
                <c:pt idx="2">
                  <c:v>21874</c:v>
                </c:pt>
                <c:pt idx="3">
                  <c:v>28577.133333333331</c:v>
                </c:pt>
                <c:pt idx="4">
                  <c:v>32072.199999999997</c:v>
                </c:pt>
                <c:pt idx="5">
                  <c:v>10811.133333333335</c:v>
                </c:pt>
                <c:pt idx="6">
                  <c:v>9698.5333333333347</c:v>
                </c:pt>
                <c:pt idx="7">
                  <c:v>9091.7999999999993</c:v>
                </c:pt>
                <c:pt idx="8">
                  <c:v>13062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1A-496A-A7F5-5003CF691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9855"/>
        <c:axId val="20760271"/>
        <c:extLst>
          <c:ext xmlns:c15="http://schemas.microsoft.com/office/drawing/2012/chart" uri="{02D57815-91ED-43cb-92C2-25804820EDAC}">
            <c15:filteredLineSeries>
              <c15:ser>
                <c:idx val="15"/>
                <c:order val="14"/>
                <c:tx>
                  <c:strRef>
                    <c:extLst>
                      <c:ext uri="{02D57815-91ED-43cb-92C2-25804820EDAC}">
                        <c15:formulaRef>
                          <c15:sqref>'RCCP SAM'!$AO$58</c15:sqref>
                        </c15:formulaRef>
                      </c:ext>
                    </c:extLst>
                    <c:strCache>
                      <c:ptCount val="1"/>
                      <c:pt idx="0">
                        <c:v>Vacation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'RCCP SAM'!$AP$43:$BB$43</c15:sqref>
                        </c15:fullRef>
                        <c15:formulaRef>
                          <c15:sqref>'RCCP SAM'!$AT$43:$BB$43</c15:sqref>
                        </c15:formulaRef>
                      </c:ext>
                    </c:extLst>
                    <c:strCache>
                      <c:ptCount val="9"/>
                      <c:pt idx="0">
                        <c:v>Q4 - 2025</c:v>
                      </c:pt>
                      <c:pt idx="1">
                        <c:v>Q1 - 2026</c:v>
                      </c:pt>
                      <c:pt idx="2">
                        <c:v>Q2 - 2026</c:v>
                      </c:pt>
                      <c:pt idx="3">
                        <c:v>Q3 - 2026</c:v>
                      </c:pt>
                      <c:pt idx="4">
                        <c:v>Q4 - 2026</c:v>
                      </c:pt>
                      <c:pt idx="5">
                        <c:v>Q1 - 2027</c:v>
                      </c:pt>
                      <c:pt idx="6">
                        <c:v>Q2 - 2027</c:v>
                      </c:pt>
                      <c:pt idx="7">
                        <c:v>Q3 - 2027</c:v>
                      </c:pt>
                      <c:pt idx="8">
                        <c:v>Q4 - 2027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'RCCP SAM'!$AP$58:$BB$58</c15:sqref>
                        </c15:fullRef>
                        <c15:formulaRef>
                          <c15:sqref>'RCCP SAM'!$AT$58:$BB$58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4020.4000000000005</c:v>
                      </c:pt>
                      <c:pt idx="1">
                        <c:v>4642</c:v>
                      </c:pt>
                      <c:pt idx="2">
                        <c:v>7600</c:v>
                      </c:pt>
                      <c:pt idx="3">
                        <c:v>8500</c:v>
                      </c:pt>
                      <c:pt idx="4">
                        <c:v>4642</c:v>
                      </c:pt>
                      <c:pt idx="5">
                        <c:v>2662.0000000000005</c:v>
                      </c:pt>
                      <c:pt idx="6">
                        <c:v>2662.0000000000005</c:v>
                      </c:pt>
                      <c:pt idx="7">
                        <c:v>2662.0000000000005</c:v>
                      </c:pt>
                      <c:pt idx="8">
                        <c:v>2662.0000000000005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2C43-43A2-9039-2E05C46C430E}"/>
                  </c:ext>
                </c:extLst>
              </c15:ser>
            </c15:filteredLineSeries>
            <c15:filteredLineSeries>
              <c15:ser>
                <c:idx val="16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'RCCP SAM'!$AO$59</c15:sqref>
                        </c15:formulaRef>
                      </c:ext>
                    </c:extLst>
                    <c:strCache>
                      <c:ptCount val="1"/>
                      <c:pt idx="0">
                        <c:v>HMH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'RCCP SAM'!$AP$43:$BB$43</c15:sqref>
                        </c15:fullRef>
                        <c15:formulaRef>
                          <c15:sqref>'RCCP SAM'!$AT$43:$BB$43</c15:sqref>
                        </c15:formulaRef>
                      </c:ext>
                    </c:extLst>
                    <c:strCache>
                      <c:ptCount val="9"/>
                      <c:pt idx="0">
                        <c:v>Q4 - 2025</c:v>
                      </c:pt>
                      <c:pt idx="1">
                        <c:v>Q1 - 2026</c:v>
                      </c:pt>
                      <c:pt idx="2">
                        <c:v>Q2 - 2026</c:v>
                      </c:pt>
                      <c:pt idx="3">
                        <c:v>Q3 - 2026</c:v>
                      </c:pt>
                      <c:pt idx="4">
                        <c:v>Q4 - 2026</c:v>
                      </c:pt>
                      <c:pt idx="5">
                        <c:v>Q1 - 2027</c:v>
                      </c:pt>
                      <c:pt idx="6">
                        <c:v>Q2 - 2027</c:v>
                      </c:pt>
                      <c:pt idx="7">
                        <c:v>Q3 - 2027</c:v>
                      </c:pt>
                      <c:pt idx="8">
                        <c:v>Q4 - 2027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'RCCP SAM'!$AP$59:$BB$59</c15:sqref>
                        </c15:fullRef>
                        <c15:formulaRef>
                          <c15:sqref>'RCCP SAM'!$AT$59:$BB$59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56</c:v>
                      </c:pt>
                      <c:pt idx="1">
                        <c:v>55</c:v>
                      </c:pt>
                      <c:pt idx="2">
                        <c:v>55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55</c:v>
                      </c:pt>
                      <c:pt idx="6">
                        <c:v>55</c:v>
                      </c:pt>
                      <c:pt idx="7">
                        <c:v>55</c:v>
                      </c:pt>
                      <c:pt idx="8">
                        <c:v>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C43-43A2-9039-2E05C46C430E}"/>
                  </c:ext>
                </c:extLst>
              </c15:ser>
            </c15:filteredLineSeries>
            <c15:filteredLineSeries>
              <c15:ser>
                <c:idx val="14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'RCCP SAM'!$AO$60</c15:sqref>
                        </c15:formulaRef>
                      </c:ext>
                    </c:extLst>
                    <c:strCache>
                      <c:ptCount val="1"/>
                      <c:pt idx="0">
                        <c:v>Contractos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'RCCP SAM'!$AP$43:$BB$43</c15:sqref>
                        </c15:fullRef>
                        <c15:formulaRef>
                          <c15:sqref>'RCCP SAM'!$AT$43:$BB$43</c15:sqref>
                        </c15:formulaRef>
                      </c:ext>
                    </c:extLst>
                    <c:strCache>
                      <c:ptCount val="9"/>
                      <c:pt idx="0">
                        <c:v>Q4 - 2025</c:v>
                      </c:pt>
                      <c:pt idx="1">
                        <c:v>Q1 - 2026</c:v>
                      </c:pt>
                      <c:pt idx="2">
                        <c:v>Q2 - 2026</c:v>
                      </c:pt>
                      <c:pt idx="3">
                        <c:v>Q3 - 2026</c:v>
                      </c:pt>
                      <c:pt idx="4">
                        <c:v>Q4 - 2026</c:v>
                      </c:pt>
                      <c:pt idx="5">
                        <c:v>Q1 - 2027</c:v>
                      </c:pt>
                      <c:pt idx="6">
                        <c:v>Q2 - 2027</c:v>
                      </c:pt>
                      <c:pt idx="7">
                        <c:v>Q3 - 2027</c:v>
                      </c:pt>
                      <c:pt idx="8">
                        <c:v>Q4 - 2027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'RCCP SAM'!$AP$60:$BB$60</c15:sqref>
                        </c15:fullRef>
                        <c15:formulaRef>
                          <c15:sqref>'RCCP SAM'!$AT$60:$BB$60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38.666666666666664</c:v>
                      </c:pt>
                      <c:pt idx="1">
                        <c:v>39.666666666666664</c:v>
                      </c:pt>
                      <c:pt idx="2">
                        <c:v>13</c:v>
                      </c:pt>
                      <c:pt idx="3">
                        <c:v>10</c:v>
                      </c:pt>
                      <c:pt idx="4">
                        <c:v>15</c:v>
                      </c:pt>
                      <c:pt idx="5">
                        <c:v>0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578-4DC2-B8A5-10C586161AB2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'RCCP SAM'!$AO$61</c15:sqref>
                        </c15:formulaRef>
                      </c:ext>
                    </c:extLst>
                    <c:strCache>
                      <c:ptCount val="1"/>
                      <c:pt idx="0">
                        <c:v>Dias Uteis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'RCCP SAM'!$AP$43:$BB$43</c15:sqref>
                        </c15:fullRef>
                        <c15:formulaRef>
                          <c15:sqref>'RCCP SAM'!$AT$43:$BB$43</c15:sqref>
                        </c15:formulaRef>
                      </c:ext>
                    </c:extLst>
                    <c:strCache>
                      <c:ptCount val="9"/>
                      <c:pt idx="0">
                        <c:v>Q4 - 2025</c:v>
                      </c:pt>
                      <c:pt idx="1">
                        <c:v>Q1 - 2026</c:v>
                      </c:pt>
                      <c:pt idx="2">
                        <c:v>Q2 - 2026</c:v>
                      </c:pt>
                      <c:pt idx="3">
                        <c:v>Q3 - 2026</c:v>
                      </c:pt>
                      <c:pt idx="4">
                        <c:v>Q4 - 2026</c:v>
                      </c:pt>
                      <c:pt idx="5">
                        <c:v>Q1 - 2027</c:v>
                      </c:pt>
                      <c:pt idx="6">
                        <c:v>Q2 - 2027</c:v>
                      </c:pt>
                      <c:pt idx="7">
                        <c:v>Q3 - 2027</c:v>
                      </c:pt>
                      <c:pt idx="8">
                        <c:v>Q4 - 2027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'RCCP SAM'!$AP$61:$BB$61</c15:sqref>
                        </c15:fullRef>
                        <c15:formulaRef>
                          <c15:sqref>'RCCP SAM'!$AT$61:$BB$61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60</c:v>
                      </c:pt>
                      <c:pt idx="1">
                        <c:v>59</c:v>
                      </c:pt>
                      <c:pt idx="2">
                        <c:v>58</c:v>
                      </c:pt>
                      <c:pt idx="3">
                        <c:v>64</c:v>
                      </c:pt>
                      <c:pt idx="4">
                        <c:v>60</c:v>
                      </c:pt>
                      <c:pt idx="5">
                        <c:v>60</c:v>
                      </c:pt>
                      <c:pt idx="6">
                        <c:v>60</c:v>
                      </c:pt>
                      <c:pt idx="7">
                        <c:v>60</c:v>
                      </c:pt>
                      <c:pt idx="8">
                        <c:v>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11A-496A-A7F5-5003CF691C2D}"/>
                  </c:ext>
                </c:extLst>
              </c15:ser>
            </c15:filteredLineSeries>
          </c:ext>
        </c:extLst>
      </c:lineChart>
      <c:catAx>
        <c:axId val="20759855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Grandview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20760271"/>
        <c:crosses val="autoZero"/>
        <c:auto val="1"/>
        <c:lblAlgn val="ctr"/>
        <c:lblOffset val="100"/>
        <c:tickMarkSkip val="1"/>
        <c:noMultiLvlLbl val="0"/>
      </c:catAx>
      <c:valAx>
        <c:axId val="2076027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randview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20759855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5"/>
        <c:delete val="1"/>
      </c:legendEntry>
      <c:layout>
        <c:manualLayout>
          <c:xMode val="edge"/>
          <c:yMode val="edge"/>
          <c:x val="2.0867155559657076E-2"/>
          <c:y val="0.11543949150476801"/>
          <c:w val="0.10168748707696329"/>
          <c:h val="9.556663433965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Grandview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000">
          <a:latin typeface="Grandview" panose="020B0502040204020203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61</xdr:row>
      <xdr:rowOff>28573</xdr:rowOff>
    </xdr:from>
    <xdr:to>
      <xdr:col>11</xdr:col>
      <xdr:colOff>284</xdr:colOff>
      <xdr:row>77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91CF0F-C5B3-015E-6433-87B4C6E50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8610598"/>
          <a:ext cx="16211834" cy="2952752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</xdr:colOff>
      <xdr:row>94</xdr:row>
      <xdr:rowOff>73025</xdr:rowOff>
    </xdr:from>
    <xdr:to>
      <xdr:col>11</xdr:col>
      <xdr:colOff>0</xdr:colOff>
      <xdr:row>104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70CF79-2CB0-027A-677D-E6C91BB4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525" y="14751050"/>
          <a:ext cx="16214725" cy="183197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17</xdr:row>
      <xdr:rowOff>76200</xdr:rowOff>
    </xdr:from>
    <xdr:to>
      <xdr:col>6</xdr:col>
      <xdr:colOff>1276350</xdr:colOff>
      <xdr:row>43</xdr:row>
      <xdr:rowOff>154097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0A819-9D84-5B6D-0209-742397079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950" y="3295650"/>
          <a:ext cx="9499600" cy="4783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678285</xdr:colOff>
      <xdr:row>0</xdr:row>
      <xdr:rowOff>165255</xdr:rowOff>
    </xdr:from>
    <xdr:to>
      <xdr:col>55</xdr:col>
      <xdr:colOff>476250</xdr:colOff>
      <xdr:row>34</xdr:row>
      <xdr:rowOff>190500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23141114-5A7D-4668-84DA-6D00B7EB9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0.01993</cdr:x>
      <cdr:y>0.07071</cdr:y>
    </cdr:from>
    <cdr:to>
      <cdr:x>0.13108</cdr:x>
      <cdr:y>0.11483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CE0D5CE-973D-CF1F-A7A7-4627E1B5354D}"/>
            </a:ext>
          </a:extLst>
        </cdr:cNvPr>
        <cdr:cNvSpPr txBox="1"/>
      </cdr:nvSpPr>
      <cdr:spPr>
        <a:xfrm xmlns:a="http://schemas.openxmlformats.org/drawingml/2006/main">
          <a:off x="293276" y="501863"/>
          <a:ext cx="1635619" cy="3131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400">
              <a:solidFill>
                <a:sysClr val="windowText" lastClr="000000"/>
              </a:solidFill>
            </a:rPr>
            <a:t>SAM RCCP</a:t>
          </a:r>
        </a:p>
      </cdr:txBody>
    </cdr:sp>
  </cdr:relSizeAnchor>
  <cdr:relSizeAnchor xmlns:cdr="http://schemas.openxmlformats.org/drawingml/2006/chartDrawing">
    <cdr:from>
      <cdr:x>0.39081</cdr:x>
      <cdr:y>0.61439</cdr:y>
    </cdr:from>
    <cdr:to>
      <cdr:x>0.45301</cdr:x>
      <cdr:y>0.6463</cdr:y>
    </cdr:to>
    <cdr:sp macro="" textlink="">
      <cdr:nvSpPr>
        <cdr:cNvPr id="36" name="TextBox 4">
          <a:extLst xmlns:a="http://schemas.openxmlformats.org/drawingml/2006/main">
            <a:ext uri="{FF2B5EF4-FFF2-40B4-BE49-F238E27FC236}">
              <a16:creationId xmlns:a16="http://schemas.microsoft.com/office/drawing/2014/main" id="{8D321A89-6412-0172-A23F-FEE89B6813BB}"/>
            </a:ext>
          </a:extLst>
        </cdr:cNvPr>
        <cdr:cNvSpPr txBox="1"/>
      </cdr:nvSpPr>
      <cdr:spPr>
        <a:xfrm xmlns:a="http://schemas.openxmlformats.org/drawingml/2006/main" rot="20883235">
          <a:off x="5483726" y="4567348"/>
          <a:ext cx="872782" cy="2372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00">
              <a:solidFill>
                <a:schemeClr val="bg1"/>
              </a:solidFill>
            </a:rPr>
            <a:t>Topside FCST</a:t>
          </a:r>
        </a:p>
      </cdr:txBody>
    </cdr:sp>
  </cdr:relSizeAnchor>
  <cdr:relSizeAnchor xmlns:cdr="http://schemas.openxmlformats.org/drawingml/2006/chartDrawing">
    <cdr:from>
      <cdr:x>0.35708</cdr:x>
      <cdr:y>0.65938</cdr:y>
    </cdr:from>
    <cdr:to>
      <cdr:x>0.46565</cdr:x>
      <cdr:y>0.70232</cdr:y>
    </cdr:to>
    <cdr:sp macro="" textlink="">
      <cdr:nvSpPr>
        <cdr:cNvPr id="37" name="TextBox 4">
          <a:extLst xmlns:a="http://schemas.openxmlformats.org/drawingml/2006/main">
            <a:ext uri="{FF2B5EF4-FFF2-40B4-BE49-F238E27FC236}">
              <a16:creationId xmlns:a16="http://schemas.microsoft.com/office/drawing/2014/main" id="{2B65B483-CD0E-D154-FC6A-769F9DE72165}"/>
            </a:ext>
          </a:extLst>
        </cdr:cNvPr>
        <cdr:cNvSpPr txBox="1"/>
      </cdr:nvSpPr>
      <cdr:spPr>
        <a:xfrm xmlns:a="http://schemas.openxmlformats.org/drawingml/2006/main" rot="20625750">
          <a:off x="5010470" y="4901816"/>
          <a:ext cx="1523440" cy="3192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>
              <a:solidFill>
                <a:schemeClr val="bg1"/>
              </a:solidFill>
            </a:rPr>
            <a:t>Pressure</a:t>
          </a:r>
          <a:r>
            <a:rPr lang="pt-BR" sz="1100" baseline="0">
              <a:solidFill>
                <a:schemeClr val="bg1"/>
              </a:solidFill>
            </a:rPr>
            <a:t> </a:t>
          </a:r>
          <a:r>
            <a:rPr lang="pt-BR" sz="1000" baseline="0">
              <a:solidFill>
                <a:schemeClr val="bg1"/>
              </a:solidFill>
            </a:rPr>
            <a:t>Control</a:t>
          </a:r>
          <a:r>
            <a:rPr lang="pt-BR" sz="1100" baseline="0">
              <a:solidFill>
                <a:schemeClr val="bg1"/>
              </a:solidFill>
            </a:rPr>
            <a:t> </a:t>
          </a:r>
          <a:r>
            <a:rPr lang="pt-BR" sz="1100">
              <a:solidFill>
                <a:schemeClr val="bg1"/>
              </a:solidFill>
            </a:rPr>
            <a:t>FCST</a:t>
          </a:r>
        </a:p>
      </cdr:txBody>
    </cdr:sp>
  </cdr:relSizeAnchor>
  <cdr:relSizeAnchor xmlns:cdr="http://schemas.openxmlformats.org/drawingml/2006/chartDrawing">
    <cdr:from>
      <cdr:x>0.05057</cdr:x>
      <cdr:y>0.72684</cdr:y>
    </cdr:from>
    <cdr:to>
      <cdr:x>0.14869</cdr:x>
      <cdr:y>0.77314</cdr:y>
    </cdr:to>
    <cdr:sp macro="" textlink="">
      <cdr:nvSpPr>
        <cdr:cNvPr id="29" name="TextBox 4">
          <a:extLst xmlns:a="http://schemas.openxmlformats.org/drawingml/2006/main">
            <a:ext uri="{FF2B5EF4-FFF2-40B4-BE49-F238E27FC236}">
              <a16:creationId xmlns:a16="http://schemas.microsoft.com/office/drawing/2014/main" id="{559059E5-04CD-7E20-6D6D-B30D0809D329}"/>
            </a:ext>
          </a:extLst>
        </cdr:cNvPr>
        <cdr:cNvSpPr txBox="1"/>
      </cdr:nvSpPr>
      <cdr:spPr>
        <a:xfrm xmlns:a="http://schemas.openxmlformats.org/drawingml/2006/main">
          <a:off x="744118" y="5158947"/>
          <a:ext cx="1443877" cy="3286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50">
              <a:solidFill>
                <a:schemeClr val="bg1"/>
              </a:solidFill>
            </a:rPr>
            <a:t>Riser Firm</a:t>
          </a:r>
        </a:p>
      </cdr:txBody>
    </cdr:sp>
  </cdr:relSizeAnchor>
  <cdr:relSizeAnchor xmlns:cdr="http://schemas.openxmlformats.org/drawingml/2006/chartDrawing">
    <cdr:from>
      <cdr:x>0.39369</cdr:x>
      <cdr:y>0.5848</cdr:y>
    </cdr:from>
    <cdr:to>
      <cdr:x>0.45664</cdr:x>
      <cdr:y>0.62565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27F5B9A9-51AB-A568-6FA0-90845D6402F0}"/>
            </a:ext>
          </a:extLst>
        </cdr:cNvPr>
        <cdr:cNvSpPr txBox="1"/>
      </cdr:nvSpPr>
      <cdr:spPr>
        <a:xfrm xmlns:a="http://schemas.openxmlformats.org/drawingml/2006/main" rot="20933140">
          <a:off x="5524179" y="4347428"/>
          <a:ext cx="883306" cy="3036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00">
              <a:solidFill>
                <a:schemeClr val="bg1"/>
              </a:solidFill>
            </a:rPr>
            <a:t>Others</a:t>
          </a:r>
          <a:r>
            <a:rPr lang="pt-BR" sz="1100">
              <a:solidFill>
                <a:schemeClr val="bg1"/>
              </a:solidFill>
            </a:rPr>
            <a:t> FCST</a:t>
          </a:r>
        </a:p>
      </cdr:txBody>
    </cdr:sp>
  </cdr:relSizeAnchor>
  <cdr:relSizeAnchor xmlns:cdr="http://schemas.openxmlformats.org/drawingml/2006/chartDrawing">
    <cdr:from>
      <cdr:x>0.0493</cdr:x>
      <cdr:y>0.96809</cdr:y>
    </cdr:from>
    <cdr:to>
      <cdr:x>0.2763</cdr:x>
      <cdr:y>0.99962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EADD9A26-B0FC-E3E0-A59D-01CC75DF70AF}"/>
            </a:ext>
          </a:extLst>
        </cdr:cNvPr>
        <cdr:cNvSpPr txBox="1"/>
      </cdr:nvSpPr>
      <cdr:spPr>
        <a:xfrm xmlns:a="http://schemas.openxmlformats.org/drawingml/2006/main">
          <a:off x="584589" y="8053396"/>
          <a:ext cx="2691848" cy="2622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0.85748</cdr:x>
      <cdr:y>0.97</cdr:y>
    </cdr:from>
    <cdr:to>
      <cdr:x>0.96494</cdr:x>
      <cdr:y>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7D514D17-D10A-5473-417F-E017D137B8F2}"/>
            </a:ext>
          </a:extLst>
        </cdr:cNvPr>
        <cdr:cNvSpPr txBox="1"/>
      </cdr:nvSpPr>
      <cdr:spPr>
        <a:xfrm xmlns:a="http://schemas.openxmlformats.org/drawingml/2006/main">
          <a:off x="11214523" y="6742742"/>
          <a:ext cx="1405420" cy="2085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200" b="1" i="1" u="none" kern="1200"/>
            <a:t>*Thousand Hours</a:t>
          </a:r>
        </a:p>
      </cdr:txBody>
    </cdr:sp>
  </cdr:relSizeAnchor>
  <cdr:relSizeAnchor xmlns:cdr="http://schemas.openxmlformats.org/drawingml/2006/chartDrawing">
    <cdr:from>
      <cdr:x>0.29735</cdr:x>
      <cdr:y>0.00983</cdr:y>
    </cdr:from>
    <cdr:to>
      <cdr:x>0.36488</cdr:x>
      <cdr:y>0.04539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FB14B731-7F3F-C20E-1AB8-12C44E163C8E}"/>
            </a:ext>
          </a:extLst>
        </cdr:cNvPr>
        <cdr:cNvSpPr txBox="1"/>
      </cdr:nvSpPr>
      <cdr:spPr>
        <a:xfrm xmlns:a="http://schemas.openxmlformats.org/drawingml/2006/main">
          <a:off x="4375580" y="69789"/>
          <a:ext cx="993733" cy="2523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>
              <a:solidFill>
                <a:srgbClr val="C27C3C"/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0.347</cdr:x>
      <cdr:y>0.03671</cdr:y>
    </cdr:from>
    <cdr:to>
      <cdr:x>0.55397</cdr:x>
      <cdr:y>0.03712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5FDB67DB-3FBF-706A-1FAF-C3A9249C6ED5}"/>
            </a:ext>
          </a:extLst>
        </cdr:cNvPr>
        <cdr:cNvCxnSpPr/>
      </cdr:nvCxnSpPr>
      <cdr:spPr>
        <a:xfrm xmlns:a="http://schemas.openxmlformats.org/drawingml/2006/main" flipV="1">
          <a:off x="5106214" y="260568"/>
          <a:ext cx="3045736" cy="287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0.02357</cdr:x>
      <cdr:y>0.03513</cdr:y>
    </cdr:from>
    <cdr:to>
      <cdr:x>0.07803</cdr:x>
      <cdr:y>0.03552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4D24E520-9F10-12F6-A91E-97BFC4B7824A}"/>
            </a:ext>
          </a:extLst>
        </cdr:cNvPr>
        <cdr:cNvCxnSpPr/>
      </cdr:nvCxnSpPr>
      <cdr:spPr>
        <a:xfrm xmlns:a="http://schemas.openxmlformats.org/drawingml/2006/main" flipH="1">
          <a:off x="346828" y="249363"/>
          <a:ext cx="801446" cy="274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0.31191</cdr:x>
      <cdr:y>0.03081</cdr:y>
    </cdr:from>
    <cdr:to>
      <cdr:x>0.47037</cdr:x>
      <cdr:y>0.0695</cdr:y>
    </cdr:to>
    <cdr:sp macro="" textlink="">
      <cdr:nvSpPr>
        <cdr:cNvPr id="24" name="TextBox 2">
          <a:extLst xmlns:a="http://schemas.openxmlformats.org/drawingml/2006/main">
            <a:ext uri="{FF2B5EF4-FFF2-40B4-BE49-F238E27FC236}">
              <a16:creationId xmlns:a16="http://schemas.microsoft.com/office/drawing/2014/main" id="{974105FA-18C6-4125-93B3-3840E2BA94FE}"/>
            </a:ext>
          </a:extLst>
        </cdr:cNvPr>
        <cdr:cNvSpPr txBox="1"/>
      </cdr:nvSpPr>
      <cdr:spPr>
        <a:xfrm xmlns:a="http://schemas.openxmlformats.org/drawingml/2006/main">
          <a:off x="4589858" y="218693"/>
          <a:ext cx="2331806" cy="2746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Demand: 125K hrs.</a:t>
          </a:r>
        </a:p>
      </cdr:txBody>
    </cdr:sp>
  </cdr:relSizeAnchor>
  <cdr:relSizeAnchor xmlns:cdr="http://schemas.openxmlformats.org/drawingml/2006/chartDrawing">
    <cdr:from>
      <cdr:x>0.31082</cdr:x>
      <cdr:y>0.04617</cdr:y>
    </cdr:from>
    <cdr:to>
      <cdr:x>0.49331</cdr:x>
      <cdr:y>0.08454</cdr:y>
    </cdr:to>
    <cdr:sp macro="" textlink="">
      <cdr:nvSpPr>
        <cdr:cNvPr id="25" name="TextBox 3">
          <a:extLst xmlns:a="http://schemas.openxmlformats.org/drawingml/2006/main">
            <a:ext uri="{FF2B5EF4-FFF2-40B4-BE49-F238E27FC236}">
              <a16:creationId xmlns:a16="http://schemas.microsoft.com/office/drawing/2014/main" id="{19D12614-D228-499B-89DC-48F845BD9C50}"/>
            </a:ext>
          </a:extLst>
        </cdr:cNvPr>
        <cdr:cNvSpPr txBox="1"/>
      </cdr:nvSpPr>
      <cdr:spPr>
        <a:xfrm xmlns:a="http://schemas.openxmlformats.org/drawingml/2006/main">
          <a:off x="4573797" y="327678"/>
          <a:ext cx="2685417" cy="272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Capacity: 74K hrs.</a:t>
          </a:r>
        </a:p>
      </cdr:txBody>
    </cdr:sp>
  </cdr:relSizeAnchor>
  <cdr:relSizeAnchor xmlns:cdr="http://schemas.openxmlformats.org/drawingml/2006/chartDrawing">
    <cdr:from>
      <cdr:x>0.02584</cdr:x>
      <cdr:y>0.53212</cdr:y>
    </cdr:from>
    <cdr:to>
      <cdr:x>0.14623</cdr:x>
      <cdr:y>0.57999</cdr:y>
    </cdr:to>
    <cdr:sp macro="" textlink="">
      <cdr:nvSpPr>
        <cdr:cNvPr id="11" name="TextBox 4">
          <a:extLst xmlns:a="http://schemas.openxmlformats.org/drawingml/2006/main">
            <a:ext uri="{FF2B5EF4-FFF2-40B4-BE49-F238E27FC236}">
              <a16:creationId xmlns:a16="http://schemas.microsoft.com/office/drawing/2014/main" id="{42B1FCE7-0984-0E4F-951C-52AD77078431}"/>
            </a:ext>
          </a:extLst>
        </cdr:cNvPr>
        <cdr:cNvSpPr txBox="1"/>
      </cdr:nvSpPr>
      <cdr:spPr>
        <a:xfrm xmlns:a="http://schemas.openxmlformats.org/drawingml/2006/main" rot="335086">
          <a:off x="380437" y="3760702"/>
          <a:ext cx="1772354" cy="3383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50">
              <a:solidFill>
                <a:schemeClr val="bg1"/>
              </a:solidFill>
            </a:rPr>
            <a:t>Pressure Control Firm</a:t>
          </a:r>
        </a:p>
      </cdr:txBody>
    </cdr:sp>
  </cdr:relSizeAnchor>
  <cdr:relSizeAnchor xmlns:cdr="http://schemas.openxmlformats.org/drawingml/2006/chartDrawing">
    <cdr:from>
      <cdr:x>0.02518</cdr:x>
      <cdr:y>0.46384</cdr:y>
    </cdr:from>
    <cdr:to>
      <cdr:x>0.11506</cdr:x>
      <cdr:y>0.50865</cdr:y>
    </cdr:to>
    <cdr:sp macro="" textlink="">
      <cdr:nvSpPr>
        <cdr:cNvPr id="16" name="TextBox 4">
          <a:extLst xmlns:a="http://schemas.openxmlformats.org/drawingml/2006/main">
            <a:ext uri="{FF2B5EF4-FFF2-40B4-BE49-F238E27FC236}">
              <a16:creationId xmlns:a16="http://schemas.microsoft.com/office/drawing/2014/main" id="{E045242A-56C6-6832-EF0D-D625EAC7329E}"/>
            </a:ext>
          </a:extLst>
        </cdr:cNvPr>
        <cdr:cNvSpPr txBox="1"/>
      </cdr:nvSpPr>
      <cdr:spPr>
        <a:xfrm xmlns:a="http://schemas.openxmlformats.org/drawingml/2006/main" rot="680826">
          <a:off x="353116" y="3435539"/>
          <a:ext cx="1260396" cy="3318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50">
              <a:solidFill>
                <a:schemeClr val="bg1"/>
              </a:solidFill>
            </a:rPr>
            <a:t>Topside Firm</a:t>
          </a:r>
        </a:p>
      </cdr:txBody>
    </cdr:sp>
  </cdr:relSizeAnchor>
  <cdr:relSizeAnchor xmlns:cdr="http://schemas.openxmlformats.org/drawingml/2006/chartDrawing">
    <cdr:from>
      <cdr:x>0.06178</cdr:x>
      <cdr:y>0.01201</cdr:y>
    </cdr:from>
    <cdr:to>
      <cdr:x>0.12931</cdr:x>
      <cdr:y>0.04757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1FD4933E-0229-924F-BEE5-875586509131}"/>
            </a:ext>
          </a:extLst>
        </cdr:cNvPr>
        <cdr:cNvSpPr txBox="1"/>
      </cdr:nvSpPr>
      <cdr:spPr>
        <a:xfrm xmlns:a="http://schemas.openxmlformats.org/drawingml/2006/main">
          <a:off x="909066" y="85228"/>
          <a:ext cx="993732" cy="2523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>
              <a:solidFill>
                <a:srgbClr val="C27C3C"/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0.11304</cdr:x>
      <cdr:y>0.03513</cdr:y>
    </cdr:from>
    <cdr:to>
      <cdr:x>0.16027</cdr:x>
      <cdr:y>0.03537</cdr:y>
    </cdr:to>
    <cdr:cxnSp macro="">
      <cdr:nvCxnSpPr>
        <cdr:cNvPr id="26" name="Straight Arrow Connector 25">
          <a:extLst xmlns:a="http://schemas.openxmlformats.org/drawingml/2006/main">
            <a:ext uri="{FF2B5EF4-FFF2-40B4-BE49-F238E27FC236}">
              <a16:creationId xmlns:a16="http://schemas.microsoft.com/office/drawing/2014/main" id="{9393E523-06C2-7DAE-C62E-1F367CD5B43A}"/>
            </a:ext>
          </a:extLst>
        </cdr:cNvPr>
        <cdr:cNvCxnSpPr/>
      </cdr:nvCxnSpPr>
      <cdr:spPr>
        <a:xfrm xmlns:a="http://schemas.openxmlformats.org/drawingml/2006/main" flipV="1">
          <a:off x="1663379" y="249363"/>
          <a:ext cx="695131" cy="166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0.15877</cdr:x>
      <cdr:y>0.03554</cdr:y>
    </cdr:from>
    <cdr:to>
      <cdr:x>0.31486</cdr:x>
      <cdr:y>0.03671</cdr:y>
    </cdr:to>
    <cdr:cxnSp macro="">
      <cdr:nvCxnSpPr>
        <cdr:cNvPr id="31" name="Straight Arrow Connector 30">
          <a:extLst xmlns:a="http://schemas.openxmlformats.org/drawingml/2006/main">
            <a:ext uri="{FF2B5EF4-FFF2-40B4-BE49-F238E27FC236}">
              <a16:creationId xmlns:a16="http://schemas.microsoft.com/office/drawing/2014/main" id="{81D01914-5979-D3E2-5728-10832B06C681}"/>
            </a:ext>
          </a:extLst>
        </cdr:cNvPr>
        <cdr:cNvCxnSpPr/>
      </cdr:nvCxnSpPr>
      <cdr:spPr>
        <a:xfrm xmlns:a="http://schemas.openxmlformats.org/drawingml/2006/main" flipH="1" flipV="1">
          <a:off x="2336409" y="252239"/>
          <a:ext cx="2296894" cy="832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0.06926</cdr:x>
      <cdr:y>0.03279</cdr:y>
    </cdr:from>
    <cdr:to>
      <cdr:x>0.22772</cdr:x>
      <cdr:y>0.07148</cdr:y>
    </cdr:to>
    <cdr:sp macro="" textlink="">
      <cdr:nvSpPr>
        <cdr:cNvPr id="40" name="TextBox 2">
          <a:extLst xmlns:a="http://schemas.openxmlformats.org/drawingml/2006/main">
            <a:ext uri="{FF2B5EF4-FFF2-40B4-BE49-F238E27FC236}">
              <a16:creationId xmlns:a16="http://schemas.microsoft.com/office/drawing/2014/main" id="{E56307E5-770E-9B2E-54FE-D862399E3EDA}"/>
            </a:ext>
          </a:extLst>
        </cdr:cNvPr>
        <cdr:cNvSpPr txBox="1"/>
      </cdr:nvSpPr>
      <cdr:spPr>
        <a:xfrm xmlns:a="http://schemas.openxmlformats.org/drawingml/2006/main">
          <a:off x="1019130" y="232720"/>
          <a:ext cx="2331806" cy="2746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Demand: 144K hrs.</a:t>
          </a:r>
        </a:p>
      </cdr:txBody>
    </cdr:sp>
  </cdr:relSizeAnchor>
  <cdr:relSizeAnchor xmlns:cdr="http://schemas.openxmlformats.org/drawingml/2006/chartDrawing">
    <cdr:from>
      <cdr:x>0.06922</cdr:x>
      <cdr:y>0.04882</cdr:y>
    </cdr:from>
    <cdr:to>
      <cdr:x>0.25171</cdr:x>
      <cdr:y>0.08719</cdr:y>
    </cdr:to>
    <cdr:sp macro="" textlink="">
      <cdr:nvSpPr>
        <cdr:cNvPr id="41" name="TextBox 3">
          <a:extLst xmlns:a="http://schemas.openxmlformats.org/drawingml/2006/main">
            <a:ext uri="{FF2B5EF4-FFF2-40B4-BE49-F238E27FC236}">
              <a16:creationId xmlns:a16="http://schemas.microsoft.com/office/drawing/2014/main" id="{C19E10EC-7966-EAB2-0C13-3A6E456D3828}"/>
            </a:ext>
          </a:extLst>
        </cdr:cNvPr>
        <cdr:cNvSpPr txBox="1"/>
      </cdr:nvSpPr>
      <cdr:spPr>
        <a:xfrm xmlns:a="http://schemas.openxmlformats.org/drawingml/2006/main">
          <a:off x="1018563" y="346515"/>
          <a:ext cx="2685417" cy="272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Capacity: 87K hrs.</a:t>
          </a:r>
        </a:p>
      </cdr:txBody>
    </cdr:sp>
  </cdr:relSizeAnchor>
  <cdr:relSizeAnchor xmlns:cdr="http://schemas.openxmlformats.org/drawingml/2006/chartDrawing">
    <cdr:from>
      <cdr:x>0.37795</cdr:x>
      <cdr:y>0.74114</cdr:y>
    </cdr:from>
    <cdr:to>
      <cdr:x>0.50934</cdr:x>
      <cdr:y>0.78806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7FAE43D2-FA30-C45F-0AC6-8D9C2C308117}"/>
            </a:ext>
          </a:extLst>
        </cdr:cNvPr>
        <cdr:cNvSpPr txBox="1"/>
      </cdr:nvSpPr>
      <cdr:spPr>
        <a:xfrm xmlns:a="http://schemas.openxmlformats.org/drawingml/2006/main" rot="20939231">
          <a:off x="5564049" y="5237904"/>
          <a:ext cx="1934294" cy="331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>
              <a:solidFill>
                <a:schemeClr val="bg1"/>
              </a:solidFill>
            </a:rPr>
            <a:t>Riser FCTS</a:t>
          </a:r>
          <a:r>
            <a:rPr lang="pt-BR" sz="1100" baseline="0">
              <a:solidFill>
                <a:schemeClr val="bg1"/>
              </a:solidFill>
            </a:rPr>
            <a:t> </a:t>
          </a:r>
          <a:r>
            <a:rPr lang="pt-BR" sz="1100">
              <a:solidFill>
                <a:schemeClr val="bg1"/>
              </a:solidFill>
            </a:rPr>
            <a:t>(</a:t>
          </a:r>
          <a:r>
            <a:rPr lang="pt-BR" sz="1100" baseline="0">
              <a:solidFill>
                <a:schemeClr val="bg1"/>
              </a:solidFill>
            </a:rPr>
            <a:t>Ventura, 1 Rig'S)</a:t>
          </a:r>
          <a:endParaRPr lang="pt-BR" sz="11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0.02583</cdr:x>
      <cdr:y>0.4402</cdr:y>
    </cdr:from>
    <cdr:to>
      <cdr:x>0.11571</cdr:x>
      <cdr:y>0.48501</cdr:y>
    </cdr:to>
    <cdr:sp macro="" textlink="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85BD7A27-DBEE-5AEE-E53C-9010C8D78C62}"/>
            </a:ext>
          </a:extLst>
        </cdr:cNvPr>
        <cdr:cNvSpPr txBox="1"/>
      </cdr:nvSpPr>
      <cdr:spPr>
        <a:xfrm xmlns:a="http://schemas.openxmlformats.org/drawingml/2006/main" rot="524896">
          <a:off x="362427" y="3272435"/>
          <a:ext cx="1261184" cy="3331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000">
              <a:solidFill>
                <a:schemeClr val="bg1"/>
              </a:solidFill>
            </a:rPr>
            <a:t>Others Firm</a:t>
          </a:r>
        </a:p>
      </cdr:txBody>
    </cdr:sp>
  </cdr:relSizeAnchor>
  <cdr:relSizeAnchor xmlns:cdr="http://schemas.openxmlformats.org/drawingml/2006/chartDrawing">
    <cdr:from>
      <cdr:x>0.55326</cdr:x>
      <cdr:y>0.03715</cdr:y>
    </cdr:from>
    <cdr:to>
      <cdr:x>0.70935</cdr:x>
      <cdr:y>0.03833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EBA8CE5A-A789-C113-E9E9-6340002550E6}"/>
            </a:ext>
          </a:extLst>
        </cdr:cNvPr>
        <cdr:cNvCxnSpPr/>
      </cdr:nvCxnSpPr>
      <cdr:spPr>
        <a:xfrm xmlns:a="http://schemas.openxmlformats.org/drawingml/2006/main" flipH="1" flipV="1">
          <a:off x="8141447" y="263712"/>
          <a:ext cx="2296894" cy="832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0.69262</cdr:x>
      <cdr:y>0.01347</cdr:y>
    </cdr:from>
    <cdr:to>
      <cdr:x>0.76015</cdr:x>
      <cdr:y>0.04903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EA49548A-CC6B-535A-8CF2-3FED7D0FAA08}"/>
            </a:ext>
          </a:extLst>
        </cdr:cNvPr>
        <cdr:cNvSpPr txBox="1"/>
      </cdr:nvSpPr>
      <cdr:spPr>
        <a:xfrm xmlns:a="http://schemas.openxmlformats.org/drawingml/2006/main">
          <a:off x="10192124" y="95624"/>
          <a:ext cx="993733" cy="2523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>
              <a:solidFill>
                <a:srgbClr val="C27C3C"/>
              </a:solidFill>
            </a:rPr>
            <a:t>2027</a:t>
          </a:r>
        </a:p>
      </cdr:txBody>
    </cdr:sp>
  </cdr:relSizeAnchor>
  <cdr:relSizeAnchor xmlns:cdr="http://schemas.openxmlformats.org/drawingml/2006/chartDrawing">
    <cdr:from>
      <cdr:x>0.74044</cdr:x>
      <cdr:y>0.03872</cdr:y>
    </cdr:from>
    <cdr:to>
      <cdr:x>0.97412</cdr:x>
      <cdr:y>0.03872</cdr:y>
    </cdr:to>
    <cdr:cxnSp macro="">
      <cdr:nvCxnSpPr>
        <cdr:cNvPr id="21" name="Straight Arrow Connector 20">
          <a:extLst xmlns:a="http://schemas.openxmlformats.org/drawingml/2006/main">
            <a:ext uri="{FF2B5EF4-FFF2-40B4-BE49-F238E27FC236}">
              <a16:creationId xmlns:a16="http://schemas.microsoft.com/office/drawing/2014/main" id="{66D84E8A-31CA-2B03-EED2-2ECDA0A825D6}"/>
            </a:ext>
          </a:extLst>
        </cdr:cNvPr>
        <cdr:cNvCxnSpPr/>
      </cdr:nvCxnSpPr>
      <cdr:spPr>
        <a:xfrm xmlns:a="http://schemas.openxmlformats.org/drawingml/2006/main">
          <a:off x="10900566" y="274949"/>
          <a:ext cx="3440206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0.70678</cdr:x>
      <cdr:y>0.04976</cdr:y>
    </cdr:from>
    <cdr:to>
      <cdr:x>0.88927</cdr:x>
      <cdr:y>0.08813</cdr:y>
    </cdr:to>
    <cdr:sp macro="" textlink="">
      <cdr:nvSpPr>
        <cdr:cNvPr id="30" name="TextBox 3">
          <a:extLst xmlns:a="http://schemas.openxmlformats.org/drawingml/2006/main">
            <a:ext uri="{FF2B5EF4-FFF2-40B4-BE49-F238E27FC236}">
              <a16:creationId xmlns:a16="http://schemas.microsoft.com/office/drawing/2014/main" id="{63CF8DC4-C5F1-D804-25B2-6E595AD66C77}"/>
            </a:ext>
          </a:extLst>
        </cdr:cNvPr>
        <cdr:cNvSpPr txBox="1"/>
      </cdr:nvSpPr>
      <cdr:spPr>
        <a:xfrm xmlns:a="http://schemas.openxmlformats.org/drawingml/2006/main">
          <a:off x="10405034" y="353359"/>
          <a:ext cx="2686575" cy="2724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Capacity: 84K hrs.</a:t>
          </a:r>
        </a:p>
      </cdr:txBody>
    </cdr:sp>
  </cdr:relSizeAnchor>
  <cdr:relSizeAnchor xmlns:cdr="http://schemas.openxmlformats.org/drawingml/2006/chartDrawing">
    <cdr:from>
      <cdr:x>0.70678</cdr:x>
      <cdr:y>0.03398</cdr:y>
    </cdr:from>
    <cdr:to>
      <cdr:x>0.86524</cdr:x>
      <cdr:y>0.07267</cdr:y>
    </cdr:to>
    <cdr:sp macro="" textlink="">
      <cdr:nvSpPr>
        <cdr:cNvPr id="32" name="TextBox 2">
          <a:extLst xmlns:a="http://schemas.openxmlformats.org/drawingml/2006/main">
            <a:ext uri="{FF2B5EF4-FFF2-40B4-BE49-F238E27FC236}">
              <a16:creationId xmlns:a16="http://schemas.microsoft.com/office/drawing/2014/main" id="{AC38E9BB-7A36-46EC-7A4E-EB28E5BD8A69}"/>
            </a:ext>
          </a:extLst>
        </cdr:cNvPr>
        <cdr:cNvSpPr txBox="1"/>
      </cdr:nvSpPr>
      <cdr:spPr>
        <a:xfrm xmlns:a="http://schemas.openxmlformats.org/drawingml/2006/main">
          <a:off x="10405035" y="241300"/>
          <a:ext cx="2332812" cy="2747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Demand: 43K hrs.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2C8160-FB5A-4717-9CAF-B91F7313DEB1}" name="Table4" displayName="Table4" ref="A1:AV393" totalsRowShown="0" headerRowDxfId="54" dataDxfId="52" headerRowBorderDxfId="53" tableBorderDxfId="51">
  <autoFilter ref="A1:AV393" xr:uid="{8B2C8160-FB5A-4717-9CAF-B91F7313DEB1}"/>
  <tableColumns count="48">
    <tableColumn id="1" xr3:uid="{E4F54ADB-D260-4F82-A5FB-DFA5B6249E02}" name="Product Line" dataDxfId="50"/>
    <tableColumn id="2" xr3:uid="{05EDC855-3444-4558-8A30-5B739FED2C6B}" name="Equipment" dataDxfId="49"/>
    <tableColumn id="3" xr3:uid="{CB4FBC5F-BD82-4401-87FA-B4C5787A934E}" name="Project Name" dataDxfId="48"/>
    <tableColumn id="4" xr3:uid="{8673413B-04F3-4923-AFA2-48BAAA714CED}" name="Quantity" dataDxfId="47"/>
    <tableColumn id="5" xr3:uid="{AFE069EB-201D-415F-BA03-33758A26CD33}" name="Project Phase" dataDxfId="46"/>
    <tableColumn id="6" xr3:uid="{8582CFD9-595A-4FAA-991C-0EDC0E717051}" name="Project Scope" dataDxfId="45"/>
    <tableColumn id="7" xr3:uid="{B325F759-19FA-4641-82FF-CA4D1CDC0CB3}" name="Type" dataDxfId="44"/>
    <tableColumn id="8" xr3:uid="{90EDAB44-B958-49E4-B4C2-56A59551E8A6}" name="Project Status" dataDxfId="43"/>
    <tableColumn id="9" xr3:uid="{32D18A26-F71C-4930-AFFD-D079CA892ACF}" name="Start Month" dataDxfId="42"/>
    <tableColumn id="10" xr3:uid="{36F4E5F6-2E9E-45E6-8226-EAB58DA34414}" name="Start Year" dataDxfId="41"/>
    <tableColumn id="11" xr3:uid="{5709F3D8-D2DF-46E2-9154-968F7D62B60C}" name="Avg hours per Phase (Hours)" dataDxfId="40"/>
    <tableColumn id="12" xr3:uid="{3661FE6C-E37D-42C5-9FFD-0EE98D84721C}" name="Avg Lead time phase (Months)" dataDxfId="39"/>
    <tableColumn id="13" xr3:uid="{86CB11CB-4DC3-4B35-854B-CFFC6CC96A48}" name="January-25" dataDxfId="38"/>
    <tableColumn id="14" xr3:uid="{6508D8E5-A1AC-48A2-A9BC-C894FD1B1EF7}" name="February-25" dataDxfId="37"/>
    <tableColumn id="15" xr3:uid="{290CC18A-4BDF-431F-B132-4C78CD0D7F7E}" name="March-25" dataDxfId="36"/>
    <tableColumn id="16" xr3:uid="{24BD6F61-D0B9-4F37-80BF-9435FE36896D}" name="April-25" dataDxfId="35"/>
    <tableColumn id="17" xr3:uid="{842FAF27-58B6-4421-9192-53D7E6DE9804}" name="May-25" dataDxfId="34"/>
    <tableColumn id="18" xr3:uid="{88D34BCC-DBDC-4866-92C8-A4607B0D2EB7}" name="June-25" dataDxfId="33"/>
    <tableColumn id="19" xr3:uid="{490A9FAA-AEE0-4EB4-9F84-EE1CF429614F}" name="July-25" dataDxfId="32"/>
    <tableColumn id="20" xr3:uid="{6A57C73F-143F-4ECE-B971-217FB6F18169}" name="August-25" dataDxfId="31"/>
    <tableColumn id="21" xr3:uid="{9D5E4AB3-487C-4DB3-88DF-D2D8164CD1F2}" name="September-25" dataDxfId="30"/>
    <tableColumn id="22" xr3:uid="{6C97938A-232A-4F53-A9D4-3B9CD00DAC54}" name="October-25" dataDxfId="29"/>
    <tableColumn id="23" xr3:uid="{7E74AB8F-CE39-4858-B929-3DEE1A3C2282}" name="November-25" dataDxfId="28"/>
    <tableColumn id="24" xr3:uid="{2C6866D6-7ED2-4D0F-A057-6DA7D068FC1A}" name="December-25" dataDxfId="27"/>
    <tableColumn id="25" xr3:uid="{20992783-DECC-4436-908B-4E5405C812B2}" name="January-26" dataDxfId="26"/>
    <tableColumn id="26" xr3:uid="{233CE51C-8672-4B72-8238-F46B2563F433}" name="February-26" dataDxfId="25"/>
    <tableColumn id="27" xr3:uid="{CA9707FA-713F-4C1B-B3EF-26801BC74504}" name="March-26" dataDxfId="24"/>
    <tableColumn id="28" xr3:uid="{44D98C5C-329E-45CE-9F48-36B95D8C82CB}" name="April-26" dataDxfId="23"/>
    <tableColumn id="29" xr3:uid="{8AAE39F4-0A64-4EDE-A95A-26ACFF3241F6}" name="May-26" dataDxfId="22"/>
    <tableColumn id="30" xr3:uid="{08FA311D-6D9D-4376-A7D1-DDA7AECA3AF5}" name="June-26" dataDxfId="21"/>
    <tableColumn id="31" xr3:uid="{931E9670-E542-483C-8212-CBF7D9F4B75B}" name="July-26" dataDxfId="20"/>
    <tableColumn id="32" xr3:uid="{BDC38F1E-05CA-499A-8151-934330CC6CFA}" name="August-26" dataDxfId="19"/>
    <tableColumn id="33" xr3:uid="{07741EAB-445F-4033-BF11-59989D59E058}" name="September-26" dataDxfId="18"/>
    <tableColumn id="34" xr3:uid="{6C438AFF-05D5-433F-8C39-0F4DE106EE9C}" name="October-26" dataDxfId="17"/>
    <tableColumn id="35" xr3:uid="{08B9350C-FD4E-4DF4-855A-ACB3A47FE00E}" name="November-26" dataDxfId="16"/>
    <tableColumn id="36" xr3:uid="{54F3B3D7-2724-4397-826E-E694BCCE0600}" name="December-26" dataDxfId="15"/>
    <tableColumn id="37" xr3:uid="{6806948A-1D92-461C-9DF5-4BD5783EB574}" name="January-27" dataDxfId="14"/>
    <tableColumn id="38" xr3:uid="{8481B31B-9D3F-4458-B98E-1E4E2890DE14}" name="February-27" dataDxfId="13"/>
    <tableColumn id="39" xr3:uid="{57F8F822-7CB5-41E9-800A-0D2180E8131E}" name="March-27" dataDxfId="12"/>
    <tableColumn id="40" xr3:uid="{F02CE861-716C-4CE5-BCB5-B5FCF739B21D}" name="April-27" dataDxfId="11"/>
    <tableColumn id="41" xr3:uid="{23367484-0B3F-47AE-99D0-6258E926E704}" name="May-27" dataDxfId="10"/>
    <tableColumn id="42" xr3:uid="{C4234B63-380A-4225-AE47-25C26BCE19B4}" name="June-27" dataDxfId="9"/>
    <tableColumn id="43" xr3:uid="{2E081352-474D-4856-93B8-642946F2DD49}" name="July-27" dataDxfId="8"/>
    <tableColumn id="44" xr3:uid="{923359B4-27AD-4B70-82CC-FBD69BEA3517}" name="August-27" dataDxfId="7"/>
    <tableColumn id="45" xr3:uid="{71FACFDD-2BCD-4005-9B48-43DCC6DA516B}" name="September-27" dataDxfId="6"/>
    <tableColumn id="46" xr3:uid="{B00AF662-A453-4CF2-8253-7EB8E5570000}" name="October-27" dataDxfId="5"/>
    <tableColumn id="47" xr3:uid="{C255407C-D0FD-4602-9158-1C227D1C51A5}" name="November-27" dataDxfId="4"/>
    <tableColumn id="48" xr3:uid="{5F43EB69-1F8B-4B6C-812E-0CE0E92D5F16}" name="December-27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43F1-ACE5-488E-AC2B-52A5D2BE15B1}">
  <sheetPr codeName="Sheet1"/>
  <dimension ref="B1:K236"/>
  <sheetViews>
    <sheetView showGridLines="0" topLeftCell="A148" zoomScaleNormal="100" workbookViewId="0">
      <selection activeCell="H180" sqref="H180"/>
    </sheetView>
  </sheetViews>
  <sheetFormatPr defaultRowHeight="14.5" x14ac:dyDescent="0.35"/>
  <cols>
    <col min="2" max="2" width="34.81640625" customWidth="1"/>
    <col min="3" max="3" width="35.54296875" customWidth="1"/>
    <col min="4" max="5" width="14" customWidth="1"/>
    <col min="6" max="6" width="19.26953125" bestFit="1" customWidth="1"/>
    <col min="7" max="7" width="27" bestFit="1" customWidth="1"/>
    <col min="8" max="8" width="25.7265625" bestFit="1" customWidth="1"/>
    <col min="9" max="9" width="14" customWidth="1"/>
    <col min="10" max="10" width="25.7265625" bestFit="1" customWidth="1"/>
    <col min="11" max="11" width="22.453125" customWidth="1"/>
  </cols>
  <sheetData>
    <row r="1" spans="2:11" ht="14.5" customHeight="1" x14ac:dyDescent="0.35">
      <c r="B1" s="165" t="s">
        <v>0</v>
      </c>
      <c r="C1" s="166"/>
      <c r="D1" s="166"/>
      <c r="E1" s="166"/>
      <c r="F1" s="166"/>
      <c r="G1" s="166"/>
      <c r="H1" s="166"/>
      <c r="I1" s="166"/>
      <c r="J1" s="166"/>
      <c r="K1" s="167"/>
    </row>
    <row r="2" spans="2:11" ht="15" customHeight="1" thickBot="1" x14ac:dyDescent="0.4">
      <c r="B2" s="168"/>
      <c r="C2" s="169"/>
      <c r="D2" s="169"/>
      <c r="E2" s="169"/>
      <c r="F2" s="169"/>
      <c r="G2" s="169"/>
      <c r="H2" s="169"/>
      <c r="I2" s="169"/>
      <c r="J2" s="169"/>
      <c r="K2" s="170"/>
    </row>
    <row r="3" spans="2:11" ht="14.5" customHeight="1" thickBot="1" x14ac:dyDescent="0.4">
      <c r="B3" s="171" t="s">
        <v>1</v>
      </c>
      <c r="C3" s="172"/>
      <c r="D3" s="172"/>
      <c r="E3" s="172"/>
      <c r="F3" s="172"/>
      <c r="G3" s="172"/>
      <c r="H3" s="172"/>
      <c r="I3" s="172"/>
      <c r="J3" s="172"/>
      <c r="K3" s="173"/>
    </row>
    <row r="4" spans="2:11" ht="15" customHeight="1" thickBot="1" x14ac:dyDescent="0.4"/>
    <row r="5" spans="2:11" ht="15" customHeight="1" x14ac:dyDescent="0.35">
      <c r="B5" s="202" t="s">
        <v>2</v>
      </c>
      <c r="C5" s="204" t="s">
        <v>3</v>
      </c>
      <c r="D5" s="187"/>
      <c r="E5" s="187"/>
      <c r="F5" s="187"/>
      <c r="G5" s="187"/>
      <c r="H5" s="187"/>
      <c r="I5" s="187"/>
      <c r="J5" s="187"/>
      <c r="K5" s="188"/>
    </row>
    <row r="6" spans="2:11" ht="15.75" customHeight="1" thickBot="1" x14ac:dyDescent="0.4">
      <c r="B6" s="203"/>
      <c r="C6" s="168"/>
      <c r="D6" s="169"/>
      <c r="E6" s="169"/>
      <c r="F6" s="169"/>
      <c r="G6" s="169"/>
      <c r="H6" s="169"/>
      <c r="I6" s="169"/>
      <c r="J6" s="169"/>
      <c r="K6" s="205"/>
    </row>
    <row r="7" spans="2:11" ht="15" thickBot="1" x14ac:dyDescent="0.4">
      <c r="B7" s="57" t="s">
        <v>4</v>
      </c>
      <c r="C7" s="171" t="s">
        <v>5</v>
      </c>
      <c r="D7" s="172"/>
      <c r="E7" s="172"/>
      <c r="F7" s="172"/>
      <c r="G7" s="172"/>
      <c r="H7" s="172"/>
      <c r="I7" s="172"/>
      <c r="J7" s="172"/>
      <c r="K7" s="206"/>
    </row>
    <row r="8" spans="2:11" ht="15" thickBot="1" x14ac:dyDescent="0.4">
      <c r="B8" s="56" t="s">
        <v>6</v>
      </c>
      <c r="C8" s="172" t="s">
        <v>7</v>
      </c>
      <c r="D8" s="172"/>
      <c r="E8" s="172"/>
      <c r="F8" s="172"/>
      <c r="G8" s="172"/>
      <c r="H8" s="172"/>
      <c r="I8" s="172"/>
      <c r="J8" s="172"/>
      <c r="K8" s="206"/>
    </row>
    <row r="9" spans="2:11" ht="15" thickBot="1" x14ac:dyDescent="0.4">
      <c r="B9" s="55" t="s">
        <v>8</v>
      </c>
      <c r="C9" s="172" t="s">
        <v>9</v>
      </c>
      <c r="D9" s="172"/>
      <c r="E9" s="172"/>
      <c r="F9" s="172"/>
      <c r="G9" s="172"/>
      <c r="H9" s="172"/>
      <c r="I9" s="172"/>
      <c r="J9" s="172"/>
      <c r="K9" s="206"/>
    </row>
    <row r="10" spans="2:11" ht="15" thickBot="1" x14ac:dyDescent="0.4">
      <c r="B10" s="99" t="s">
        <v>10</v>
      </c>
      <c r="C10" s="27" t="s">
        <v>11</v>
      </c>
      <c r="D10" s="26"/>
      <c r="E10" s="26"/>
      <c r="F10" s="26"/>
      <c r="G10" s="26"/>
      <c r="H10" s="26"/>
      <c r="I10" s="26"/>
      <c r="J10" s="26"/>
      <c r="K10" s="54"/>
    </row>
    <row r="11" spans="2:11" ht="15" thickBot="1" x14ac:dyDescent="0.4">
      <c r="B11" s="100" t="s">
        <v>12</v>
      </c>
      <c r="C11" s="53" t="s">
        <v>13</v>
      </c>
      <c r="D11" s="52"/>
      <c r="E11" s="52"/>
      <c r="F11" s="52"/>
      <c r="G11" s="52"/>
      <c r="H11" s="52"/>
      <c r="I11" s="52"/>
      <c r="J11" s="52"/>
      <c r="K11" s="51"/>
    </row>
    <row r="12" spans="2:11" ht="15" thickBot="1" x14ac:dyDescent="0.4"/>
    <row r="13" spans="2:11" ht="15" thickBot="1" x14ac:dyDescent="0.4">
      <c r="B13" s="207" t="s">
        <v>14</v>
      </c>
      <c r="C13" s="50" t="s">
        <v>15</v>
      </c>
      <c r="D13" s="49" t="s">
        <v>8</v>
      </c>
      <c r="E13" s="48"/>
      <c r="F13" s="48"/>
      <c r="G13" s="48"/>
      <c r="H13" s="48"/>
      <c r="I13" s="48"/>
      <c r="J13" s="48"/>
      <c r="K13" s="47"/>
    </row>
    <row r="14" spans="2:11" ht="15" thickBot="1" x14ac:dyDescent="0.4">
      <c r="B14" s="208"/>
      <c r="C14" s="46" t="s">
        <v>16</v>
      </c>
      <c r="D14" s="45" t="s">
        <v>17</v>
      </c>
      <c r="E14" s="44"/>
      <c r="F14" s="44"/>
      <c r="G14" s="44"/>
      <c r="H14" s="44"/>
      <c r="I14" s="44"/>
      <c r="J14" s="44"/>
      <c r="K14" s="43"/>
    </row>
    <row r="15" spans="2:11" ht="15" thickBot="1" x14ac:dyDescent="0.4">
      <c r="F15" s="36"/>
      <c r="G15" s="36"/>
      <c r="H15" s="36"/>
      <c r="I15" s="36"/>
      <c r="J15" s="36"/>
      <c r="K15" s="36"/>
    </row>
    <row r="16" spans="2:11" ht="14.5" customHeight="1" x14ac:dyDescent="0.35">
      <c r="B16" s="165" t="s">
        <v>18</v>
      </c>
      <c r="C16" s="166"/>
      <c r="D16" s="166"/>
      <c r="E16" s="166"/>
      <c r="F16" s="166"/>
      <c r="G16" s="166"/>
      <c r="H16" s="166"/>
      <c r="I16" s="166"/>
      <c r="J16" s="166"/>
      <c r="K16" s="167"/>
    </row>
    <row r="17" spans="2:11" ht="15" customHeight="1" thickBot="1" x14ac:dyDescent="0.4">
      <c r="B17" s="168"/>
      <c r="C17" s="169"/>
      <c r="D17" s="169"/>
      <c r="E17" s="169"/>
      <c r="F17" s="169"/>
      <c r="G17" s="169"/>
      <c r="H17" s="169"/>
      <c r="I17" s="169"/>
      <c r="J17" s="169"/>
      <c r="K17" s="170"/>
    </row>
    <row r="18" spans="2:11" x14ac:dyDescent="0.35">
      <c r="B18" s="36"/>
      <c r="C18" s="36"/>
      <c r="D18" s="36"/>
      <c r="E18" s="36"/>
      <c r="F18" s="36"/>
      <c r="G18" s="36"/>
      <c r="H18" s="36"/>
      <c r="I18" s="36"/>
      <c r="J18" s="36"/>
      <c r="K18" s="36"/>
    </row>
    <row r="19" spans="2:11" x14ac:dyDescent="0.35"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 spans="2:11" x14ac:dyDescent="0.35"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2:11" x14ac:dyDescent="0.35"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spans="2:11" x14ac:dyDescent="0.35">
      <c r="B22" s="36"/>
      <c r="C22" s="36"/>
      <c r="D22" s="36"/>
      <c r="E22" s="36"/>
      <c r="F22" s="36"/>
      <c r="G22" s="36"/>
      <c r="H22" s="36"/>
      <c r="I22" s="36"/>
      <c r="J22" s="36"/>
      <c r="K22" s="36"/>
    </row>
    <row r="23" spans="2:11" x14ac:dyDescent="0.35">
      <c r="B23" s="36"/>
      <c r="C23" s="36"/>
      <c r="D23" s="36"/>
      <c r="E23" s="36"/>
      <c r="F23" s="36"/>
      <c r="G23" s="36"/>
      <c r="H23" s="36"/>
      <c r="I23" s="36"/>
      <c r="J23" s="36"/>
      <c r="K23" s="36"/>
    </row>
    <row r="24" spans="2:11" x14ac:dyDescent="0.35"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spans="2:11" x14ac:dyDescent="0.35"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 spans="2:11" x14ac:dyDescent="0.35">
      <c r="B26" s="36"/>
      <c r="C26" s="36"/>
      <c r="D26" s="36"/>
      <c r="E26" s="36"/>
      <c r="F26" s="36"/>
      <c r="G26" s="36"/>
      <c r="H26" s="36"/>
      <c r="I26" s="36"/>
      <c r="J26" s="36"/>
      <c r="K26" s="36"/>
    </row>
    <row r="27" spans="2:11" x14ac:dyDescent="0.35">
      <c r="B27" s="36"/>
      <c r="C27" s="36"/>
      <c r="D27" s="36"/>
      <c r="E27" s="36"/>
      <c r="F27" s="36"/>
      <c r="G27" s="36"/>
      <c r="H27" s="36"/>
      <c r="I27" s="36"/>
      <c r="J27" s="36"/>
      <c r="K27" s="36"/>
    </row>
    <row r="28" spans="2:11" x14ac:dyDescent="0.35"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 spans="2:11" x14ac:dyDescent="0.35">
      <c r="B29" s="36"/>
      <c r="C29" s="36"/>
      <c r="D29" s="36"/>
      <c r="E29" s="36"/>
      <c r="F29" s="36"/>
      <c r="G29" s="36"/>
      <c r="H29" s="36"/>
      <c r="I29" s="36"/>
      <c r="J29" s="36"/>
      <c r="K29" s="36"/>
    </row>
    <row r="30" spans="2:11" x14ac:dyDescent="0.35"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2:11" x14ac:dyDescent="0.35"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spans="2:11" x14ac:dyDescent="0.35"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2:11" x14ac:dyDescent="0.35"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2:11" x14ac:dyDescent="0.35"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spans="2:11" x14ac:dyDescent="0.35"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2:11" x14ac:dyDescent="0.35"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7" spans="2:11" x14ac:dyDescent="0.35">
      <c r="B37" s="36"/>
      <c r="C37" s="36"/>
      <c r="D37" s="36"/>
      <c r="E37" s="36"/>
      <c r="F37" s="36"/>
      <c r="G37" s="36"/>
      <c r="H37" s="36"/>
      <c r="I37" s="36"/>
      <c r="J37" s="36"/>
      <c r="K37" s="36"/>
    </row>
    <row r="38" spans="2:11" x14ac:dyDescent="0.35"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39" spans="2:11" x14ac:dyDescent="0.35"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 spans="2:11" x14ac:dyDescent="0.35"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 spans="2:11" x14ac:dyDescent="0.35"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spans="2:11" x14ac:dyDescent="0.35"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 spans="2:11" x14ac:dyDescent="0.35"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spans="2:11" ht="15" thickBot="1" x14ac:dyDescent="0.4"/>
    <row r="45" spans="2:11" ht="14.5" customHeight="1" x14ac:dyDescent="0.35">
      <c r="B45" s="165" t="s">
        <v>19</v>
      </c>
      <c r="C45" s="166"/>
      <c r="D45" s="166"/>
      <c r="E45" s="166"/>
      <c r="F45" s="166"/>
      <c r="G45" s="166"/>
      <c r="H45" s="166"/>
      <c r="I45" s="166"/>
      <c r="J45" s="166"/>
      <c r="K45" s="167"/>
    </row>
    <row r="46" spans="2:11" ht="15" customHeight="1" thickBot="1" x14ac:dyDescent="0.4">
      <c r="B46" s="168"/>
      <c r="C46" s="169"/>
      <c r="D46" s="169"/>
      <c r="E46" s="169"/>
      <c r="F46" s="169"/>
      <c r="G46" s="169"/>
      <c r="H46" s="169"/>
      <c r="I46" s="169"/>
      <c r="J46" s="169"/>
      <c r="K46" s="170"/>
    </row>
    <row r="47" spans="2:11" ht="14.5" customHeight="1" x14ac:dyDescent="0.35">
      <c r="B47" s="217" t="s">
        <v>20</v>
      </c>
      <c r="C47" s="23" t="s">
        <v>21</v>
      </c>
      <c r="D47" s="23"/>
      <c r="E47" s="23"/>
      <c r="F47" s="23"/>
      <c r="G47" s="23"/>
      <c r="H47" s="23"/>
      <c r="I47" s="23"/>
      <c r="J47" s="23"/>
      <c r="K47" s="22"/>
    </row>
    <row r="48" spans="2:11" ht="14.5" customHeight="1" x14ac:dyDescent="0.35">
      <c r="B48" s="215"/>
      <c r="C48" t="s">
        <v>22</v>
      </c>
      <c r="K48" s="15"/>
    </row>
    <row r="49" spans="2:11" ht="14.5" customHeight="1" x14ac:dyDescent="0.35">
      <c r="B49" s="215"/>
      <c r="C49" t="s">
        <v>23</v>
      </c>
      <c r="K49" s="15"/>
    </row>
    <row r="50" spans="2:11" ht="14.5" customHeight="1" thickBot="1" x14ac:dyDescent="0.4">
      <c r="B50" s="216"/>
      <c r="C50" s="103" t="s">
        <v>24</v>
      </c>
      <c r="D50" s="103"/>
      <c r="E50" s="103"/>
      <c r="F50" s="103"/>
      <c r="G50" s="103"/>
      <c r="H50" s="103"/>
      <c r="I50" s="103"/>
      <c r="J50" s="103"/>
      <c r="K50" s="16"/>
    </row>
    <row r="51" spans="2:11" ht="14.5" customHeight="1" x14ac:dyDescent="0.35">
      <c r="B51" s="215" t="s">
        <v>25</v>
      </c>
      <c r="C51" t="s">
        <v>26</v>
      </c>
      <c r="K51" s="15"/>
    </row>
    <row r="52" spans="2:11" ht="14.5" customHeight="1" x14ac:dyDescent="0.35">
      <c r="B52" s="215"/>
      <c r="C52" t="s">
        <v>27</v>
      </c>
      <c r="K52" s="15"/>
    </row>
    <row r="53" spans="2:11" ht="14.5" customHeight="1" thickBot="1" x14ac:dyDescent="0.4">
      <c r="B53" s="216"/>
      <c r="C53" s="103" t="s">
        <v>28</v>
      </c>
      <c r="D53" s="103"/>
      <c r="E53" s="103"/>
      <c r="F53" s="103"/>
      <c r="G53" s="103"/>
      <c r="H53" s="103"/>
      <c r="I53" s="103"/>
      <c r="J53" s="103"/>
      <c r="K53" s="16"/>
    </row>
    <row r="54" spans="2:11" ht="15" customHeight="1" thickBot="1" x14ac:dyDescent="0.4">
      <c r="B54" s="180" t="s">
        <v>29</v>
      </c>
      <c r="C54" s="183" t="s">
        <v>30</v>
      </c>
      <c r="D54" s="184"/>
      <c r="E54" s="184"/>
      <c r="F54" s="184"/>
      <c r="G54" s="184"/>
      <c r="H54" s="184"/>
      <c r="I54" s="184"/>
      <c r="J54" s="184"/>
      <c r="K54" s="185"/>
    </row>
    <row r="55" spans="2:11" ht="15" customHeight="1" thickBot="1" x14ac:dyDescent="0.4">
      <c r="B55" s="181"/>
      <c r="C55" s="183" t="s">
        <v>31</v>
      </c>
      <c r="D55" s="184"/>
      <c r="E55" s="184"/>
      <c r="F55" s="184"/>
      <c r="G55" s="184"/>
      <c r="H55" s="184"/>
      <c r="I55" s="184"/>
      <c r="J55" s="184"/>
      <c r="K55" s="185"/>
    </row>
    <row r="56" spans="2:11" ht="15" customHeight="1" thickBot="1" x14ac:dyDescent="0.4">
      <c r="B56" s="182"/>
      <c r="C56" s="183" t="s">
        <v>32</v>
      </c>
      <c r="D56" s="184"/>
      <c r="E56" s="184"/>
      <c r="F56" s="184"/>
      <c r="G56" s="184"/>
      <c r="H56" s="184"/>
      <c r="I56" s="184"/>
      <c r="J56" s="184"/>
      <c r="K56" s="185"/>
    </row>
    <row r="59" spans="2:11" ht="15" thickBot="1" x14ac:dyDescent="0.4"/>
    <row r="60" spans="2:11" ht="21.5" thickBot="1" x14ac:dyDescent="0.4">
      <c r="B60" s="209" t="s">
        <v>33</v>
      </c>
      <c r="C60" s="210"/>
      <c r="D60" s="210"/>
      <c r="E60" s="210"/>
      <c r="F60" s="210"/>
      <c r="G60" s="210"/>
      <c r="H60" s="210"/>
      <c r="I60" s="210"/>
      <c r="J60" s="210"/>
      <c r="K60" s="211"/>
    </row>
    <row r="61" spans="2:11" ht="15" thickBot="1" x14ac:dyDescent="0.4">
      <c r="B61" s="212" t="s">
        <v>34</v>
      </c>
      <c r="C61" s="213"/>
      <c r="D61" s="213"/>
      <c r="E61" s="213"/>
      <c r="F61" s="213"/>
      <c r="G61" s="213"/>
      <c r="H61" s="213"/>
      <c r="I61" s="213"/>
      <c r="J61" s="213"/>
      <c r="K61" s="214"/>
    </row>
    <row r="62" spans="2:11" x14ac:dyDescent="0.35">
      <c r="B62" s="34"/>
      <c r="K62" s="33"/>
    </row>
    <row r="63" spans="2:11" x14ac:dyDescent="0.35">
      <c r="B63" s="34"/>
      <c r="K63" s="33"/>
    </row>
    <row r="64" spans="2:11" x14ac:dyDescent="0.35">
      <c r="B64" s="34"/>
      <c r="K64" s="33"/>
    </row>
    <row r="65" spans="2:11" x14ac:dyDescent="0.35">
      <c r="B65" s="34"/>
      <c r="K65" s="33"/>
    </row>
    <row r="66" spans="2:11" x14ac:dyDescent="0.35">
      <c r="B66" s="34"/>
      <c r="K66" s="33"/>
    </row>
    <row r="67" spans="2:11" x14ac:dyDescent="0.35">
      <c r="B67" s="34"/>
      <c r="K67" s="33"/>
    </row>
    <row r="68" spans="2:11" x14ac:dyDescent="0.35">
      <c r="B68" s="34"/>
      <c r="K68" s="33"/>
    </row>
    <row r="69" spans="2:11" x14ac:dyDescent="0.35">
      <c r="B69" s="34"/>
      <c r="K69" s="33"/>
    </row>
    <row r="70" spans="2:11" x14ac:dyDescent="0.35">
      <c r="B70" s="34"/>
      <c r="K70" s="33"/>
    </row>
    <row r="71" spans="2:11" x14ac:dyDescent="0.35">
      <c r="B71" s="34"/>
      <c r="K71" s="33"/>
    </row>
    <row r="72" spans="2:11" x14ac:dyDescent="0.35">
      <c r="B72" s="34"/>
      <c r="K72" s="33"/>
    </row>
    <row r="73" spans="2:11" x14ac:dyDescent="0.35">
      <c r="B73" s="34"/>
      <c r="K73" s="33"/>
    </row>
    <row r="74" spans="2:11" x14ac:dyDescent="0.35">
      <c r="B74" s="34"/>
      <c r="K74" s="33"/>
    </row>
    <row r="75" spans="2:11" x14ac:dyDescent="0.35">
      <c r="B75" s="34"/>
      <c r="K75" s="33"/>
    </row>
    <row r="76" spans="2:11" x14ac:dyDescent="0.35">
      <c r="B76" s="34"/>
      <c r="K76" s="33"/>
    </row>
    <row r="77" spans="2:11" x14ac:dyDescent="0.35">
      <c r="B77" s="34"/>
      <c r="K77" s="33"/>
    </row>
    <row r="78" spans="2:11" ht="15" thickBot="1" x14ac:dyDescent="0.4">
      <c r="B78" s="35"/>
      <c r="C78" s="32"/>
      <c r="D78" s="32"/>
      <c r="E78" s="32"/>
      <c r="F78" s="32"/>
      <c r="G78" s="32"/>
      <c r="H78" s="32"/>
      <c r="I78" s="32"/>
      <c r="J78" s="32"/>
      <c r="K78" s="31"/>
    </row>
    <row r="79" spans="2:11" ht="15" thickBot="1" x14ac:dyDescent="0.4"/>
    <row r="80" spans="2:11" ht="21.5" thickBot="1" x14ac:dyDescent="0.4">
      <c r="B80" s="209" t="s">
        <v>35</v>
      </c>
      <c r="C80" s="210"/>
      <c r="D80" s="210"/>
      <c r="E80" s="210"/>
      <c r="F80" s="210"/>
      <c r="G80" s="210"/>
      <c r="H80" s="210"/>
      <c r="I80" s="210"/>
      <c r="J80" s="210"/>
      <c r="K80" s="211"/>
    </row>
    <row r="81" spans="2:11" ht="16.5" thickBot="1" x14ac:dyDescent="0.4">
      <c r="B81" s="96" t="s">
        <v>36</v>
      </c>
      <c r="C81" s="189" t="s">
        <v>37</v>
      </c>
      <c r="D81" s="190"/>
      <c r="E81" s="190"/>
      <c r="F81" s="190"/>
      <c r="G81" s="190"/>
      <c r="H81" s="190"/>
      <c r="I81" s="190"/>
      <c r="J81" s="190"/>
      <c r="K81" s="191"/>
    </row>
    <row r="82" spans="2:11" x14ac:dyDescent="0.35">
      <c r="B82" s="200" t="s">
        <v>38</v>
      </c>
      <c r="C82" s="23" t="s">
        <v>39</v>
      </c>
      <c r="D82" s="23"/>
      <c r="E82" s="23"/>
      <c r="F82" s="23"/>
      <c r="G82" s="23"/>
      <c r="H82" s="23"/>
      <c r="I82" s="23"/>
      <c r="J82" s="23"/>
      <c r="K82" s="22"/>
    </row>
    <row r="83" spans="2:11" x14ac:dyDescent="0.35">
      <c r="B83" s="201"/>
      <c r="K83" s="15"/>
    </row>
    <row r="84" spans="2:11" x14ac:dyDescent="0.35">
      <c r="B84" s="201"/>
      <c r="C84" s="97" t="s">
        <v>40</v>
      </c>
      <c r="K84" s="15"/>
    </row>
    <row r="85" spans="2:11" x14ac:dyDescent="0.35">
      <c r="B85" s="201"/>
      <c r="K85" s="15"/>
    </row>
    <row r="86" spans="2:11" x14ac:dyDescent="0.35">
      <c r="B86" s="201"/>
      <c r="C86" s="98" t="s">
        <v>41</v>
      </c>
      <c r="K86" s="15"/>
    </row>
    <row r="87" spans="2:11" x14ac:dyDescent="0.35">
      <c r="B87" s="201"/>
      <c r="C87" t="s">
        <v>42</v>
      </c>
      <c r="D87">
        <v>968</v>
      </c>
      <c r="K87" s="15"/>
    </row>
    <row r="88" spans="2:11" x14ac:dyDescent="0.35">
      <c r="B88" s="201"/>
      <c r="C88" t="s">
        <v>43</v>
      </c>
      <c r="D88">
        <v>2</v>
      </c>
      <c r="K88" s="15"/>
    </row>
    <row r="89" spans="2:11" x14ac:dyDescent="0.35">
      <c r="B89" s="201"/>
      <c r="C89" t="s">
        <v>44</v>
      </c>
      <c r="D89">
        <v>4</v>
      </c>
      <c r="K89" s="15"/>
    </row>
    <row r="90" spans="2:11" x14ac:dyDescent="0.35">
      <c r="B90" s="201"/>
      <c r="C90" t="s">
        <v>45</v>
      </c>
      <c r="D90" s="58" t="s">
        <v>46</v>
      </c>
      <c r="K90" s="15"/>
    </row>
    <row r="91" spans="2:11" x14ac:dyDescent="0.35">
      <c r="B91" s="201"/>
      <c r="C91" s="178">
        <v>2025</v>
      </c>
      <c r="D91" s="178"/>
      <c r="E91" s="178"/>
      <c r="F91" s="178"/>
      <c r="K91" s="15"/>
    </row>
    <row r="92" spans="2:11" x14ac:dyDescent="0.35">
      <c r="B92" s="201"/>
      <c r="C92" s="9" t="s">
        <v>47</v>
      </c>
      <c r="D92" s="9" t="s">
        <v>48</v>
      </c>
      <c r="E92" s="9" t="s">
        <v>49</v>
      </c>
      <c r="F92" s="9" t="s">
        <v>50</v>
      </c>
      <c r="G92" s="9"/>
      <c r="K92" s="15"/>
    </row>
    <row r="93" spans="2:11" x14ac:dyDescent="0.35">
      <c r="B93" s="201"/>
      <c r="C93" s="9">
        <f>(D87*D88)/D89</f>
        <v>484</v>
      </c>
      <c r="D93" s="9">
        <f>(D87*D88)/D89</f>
        <v>484</v>
      </c>
      <c r="E93" s="9">
        <f>(D87*D88)/D89</f>
        <v>484</v>
      </c>
      <c r="F93" s="9">
        <f>(D87*D88)/D89</f>
        <v>484</v>
      </c>
      <c r="G93" s="9"/>
      <c r="K93" s="15"/>
    </row>
    <row r="94" spans="2:11" x14ac:dyDescent="0.35">
      <c r="B94" s="201"/>
      <c r="C94" s="95" t="s">
        <v>51</v>
      </c>
      <c r="D94" s="95"/>
      <c r="E94" s="95"/>
      <c r="F94" s="95"/>
      <c r="G94" s="95"/>
      <c r="H94" s="95"/>
      <c r="I94" s="95"/>
      <c r="J94" s="95"/>
      <c r="K94" s="15"/>
    </row>
    <row r="95" spans="2:11" x14ac:dyDescent="0.35">
      <c r="B95" s="101"/>
      <c r="C95" s="95"/>
      <c r="D95" s="95"/>
      <c r="E95" s="95"/>
      <c r="F95" s="95"/>
      <c r="G95" s="95"/>
      <c r="H95" s="95"/>
      <c r="I95" s="95"/>
      <c r="J95" s="95"/>
      <c r="K95" s="15"/>
    </row>
    <row r="96" spans="2:11" x14ac:dyDescent="0.35">
      <c r="B96" s="101"/>
      <c r="C96" s="95"/>
      <c r="D96" s="95"/>
      <c r="E96" s="95"/>
      <c r="F96" s="95"/>
      <c r="G96" s="95"/>
      <c r="H96" s="95"/>
      <c r="I96" s="95"/>
      <c r="J96" s="95"/>
      <c r="K96" s="15"/>
    </row>
    <row r="97" spans="2:11" x14ac:dyDescent="0.35">
      <c r="B97" s="101"/>
      <c r="C97" s="95"/>
      <c r="D97" s="95"/>
      <c r="E97" s="95"/>
      <c r="F97" s="95"/>
      <c r="G97" s="95"/>
      <c r="H97" s="95"/>
      <c r="I97" s="95"/>
      <c r="J97" s="95"/>
      <c r="K97" s="15"/>
    </row>
    <row r="98" spans="2:11" x14ac:dyDescent="0.35">
      <c r="B98" s="101"/>
      <c r="C98" s="95"/>
      <c r="D98" s="95"/>
      <c r="E98" s="95"/>
      <c r="F98" s="95"/>
      <c r="G98" s="95"/>
      <c r="H98" s="95"/>
      <c r="I98" s="95"/>
      <c r="J98" s="95"/>
      <c r="K98" s="15"/>
    </row>
    <row r="99" spans="2:11" x14ac:dyDescent="0.35">
      <c r="B99" s="101"/>
      <c r="C99" s="95"/>
      <c r="D99" s="95"/>
      <c r="E99" s="95"/>
      <c r="F99" s="95"/>
      <c r="G99" s="95"/>
      <c r="H99" s="95"/>
      <c r="I99" s="95"/>
      <c r="J99" s="95"/>
      <c r="K99" s="15"/>
    </row>
    <row r="100" spans="2:11" x14ac:dyDescent="0.35">
      <c r="B100" s="101"/>
      <c r="C100" s="95"/>
      <c r="D100" s="95"/>
      <c r="E100" s="95"/>
      <c r="F100" s="95"/>
      <c r="G100" s="95"/>
      <c r="H100" s="95"/>
      <c r="I100" s="95"/>
      <c r="J100" s="95"/>
      <c r="K100" s="15"/>
    </row>
    <row r="101" spans="2:11" x14ac:dyDescent="0.35">
      <c r="B101" s="101"/>
      <c r="C101" s="95"/>
      <c r="D101" s="95"/>
      <c r="E101" s="95"/>
      <c r="F101" s="95"/>
      <c r="G101" s="95"/>
      <c r="H101" s="95"/>
      <c r="I101" s="95"/>
      <c r="J101" s="95"/>
      <c r="K101" s="15"/>
    </row>
    <row r="102" spans="2:11" x14ac:dyDescent="0.35">
      <c r="B102" s="101"/>
      <c r="C102" s="95"/>
      <c r="D102" s="95"/>
      <c r="E102" s="95"/>
      <c r="F102" s="95"/>
      <c r="G102" s="95"/>
      <c r="H102" s="95"/>
      <c r="I102" s="95"/>
      <c r="J102" s="95"/>
      <c r="K102" s="15"/>
    </row>
    <row r="103" spans="2:11" x14ac:dyDescent="0.35">
      <c r="B103" s="101"/>
      <c r="C103" s="95"/>
      <c r="D103" s="95"/>
      <c r="E103" s="95"/>
      <c r="F103" s="95"/>
      <c r="G103" s="95"/>
      <c r="H103" s="95"/>
      <c r="I103" s="95"/>
      <c r="J103" s="95"/>
      <c r="K103" s="15"/>
    </row>
    <row r="104" spans="2:11" x14ac:dyDescent="0.35">
      <c r="B104" s="101"/>
      <c r="C104" s="95"/>
      <c r="D104" s="95"/>
      <c r="E104" s="95"/>
      <c r="F104" s="95"/>
      <c r="G104" s="95"/>
      <c r="H104" s="95"/>
      <c r="I104" s="95"/>
      <c r="J104" s="95"/>
      <c r="K104" s="15"/>
    </row>
    <row r="105" spans="2:11" ht="15" thickBot="1" x14ac:dyDescent="0.4">
      <c r="B105" s="102"/>
      <c r="C105" s="24"/>
      <c r="D105" s="24"/>
      <c r="E105" s="24"/>
      <c r="F105" s="24"/>
      <c r="G105" s="24"/>
      <c r="H105" s="24"/>
      <c r="I105" s="24"/>
      <c r="J105" s="24"/>
      <c r="K105" s="16"/>
    </row>
    <row r="106" spans="2:11" ht="15" thickBot="1" x14ac:dyDescent="0.4"/>
    <row r="107" spans="2:11" ht="21.5" thickBot="1" x14ac:dyDescent="0.4">
      <c r="B107" s="186" t="s">
        <v>52</v>
      </c>
      <c r="C107" s="187"/>
      <c r="D107" s="187"/>
      <c r="E107" s="187"/>
      <c r="F107" s="187"/>
      <c r="G107" s="187"/>
      <c r="H107" s="187"/>
      <c r="I107" s="187"/>
      <c r="J107" s="187"/>
      <c r="K107" s="188"/>
    </row>
    <row r="108" spans="2:11" ht="16.5" thickBot="1" x14ac:dyDescent="0.4">
      <c r="B108" s="25" t="s">
        <v>53</v>
      </c>
      <c r="C108" s="189" t="s">
        <v>37</v>
      </c>
      <c r="D108" s="190"/>
      <c r="E108" s="190"/>
      <c r="F108" s="190"/>
      <c r="G108" s="190"/>
      <c r="H108" s="190"/>
      <c r="I108" s="190"/>
      <c r="J108" s="190"/>
      <c r="K108" s="191"/>
    </row>
    <row r="109" spans="2:11" x14ac:dyDescent="0.35">
      <c r="B109" s="192" t="s">
        <v>54</v>
      </c>
      <c r="C109" s="174" t="s">
        <v>55</v>
      </c>
      <c r="D109" s="175"/>
      <c r="E109" s="175"/>
      <c r="F109" s="175"/>
      <c r="G109" s="175"/>
      <c r="H109" s="175"/>
      <c r="I109" s="175"/>
      <c r="J109" s="175"/>
      <c r="K109" s="176"/>
    </row>
    <row r="110" spans="2:11" x14ac:dyDescent="0.35">
      <c r="B110" s="193"/>
      <c r="C110" s="177"/>
      <c r="D110" s="178"/>
      <c r="E110" s="178"/>
      <c r="F110" s="178"/>
      <c r="G110" s="178"/>
      <c r="H110" s="178"/>
      <c r="I110" s="178"/>
      <c r="J110" s="178"/>
      <c r="K110" s="179"/>
    </row>
    <row r="111" spans="2:11" ht="15" thickBot="1" x14ac:dyDescent="0.4">
      <c r="B111" s="193"/>
      <c r="C111" s="194" t="s">
        <v>56</v>
      </c>
      <c r="D111" s="195"/>
      <c r="E111" s="195"/>
      <c r="F111" s="195"/>
      <c r="G111" s="195"/>
      <c r="H111" s="195"/>
      <c r="I111" s="195"/>
      <c r="J111" s="195"/>
      <c r="K111" s="196"/>
    </row>
    <row r="112" spans="2:11" x14ac:dyDescent="0.35">
      <c r="B112" s="193"/>
      <c r="C112" s="174" t="s">
        <v>57</v>
      </c>
      <c r="D112" s="175"/>
      <c r="E112" s="175"/>
      <c r="F112" s="175"/>
      <c r="G112" s="175"/>
      <c r="H112" s="175"/>
      <c r="I112" s="175"/>
      <c r="J112" s="175"/>
      <c r="K112" s="176"/>
    </row>
    <row r="113" spans="2:11" x14ac:dyDescent="0.35">
      <c r="B113" s="193"/>
      <c r="C113" s="177"/>
      <c r="D113" s="178"/>
      <c r="E113" s="178"/>
      <c r="F113" s="178"/>
      <c r="G113" s="178"/>
      <c r="H113" s="178"/>
      <c r="I113" s="178"/>
      <c r="J113" s="178"/>
      <c r="K113" s="179"/>
    </row>
    <row r="114" spans="2:11" ht="15" thickBot="1" x14ac:dyDescent="0.4">
      <c r="B114" s="193"/>
      <c r="C114" s="194" t="s">
        <v>58</v>
      </c>
      <c r="D114" s="195"/>
      <c r="E114" s="195"/>
      <c r="F114" s="195"/>
      <c r="G114" s="195"/>
      <c r="H114" s="195"/>
      <c r="I114" s="195"/>
      <c r="J114" s="195"/>
      <c r="K114" s="196"/>
    </row>
    <row r="115" spans="2:11" x14ac:dyDescent="0.35">
      <c r="B115" s="193"/>
      <c r="C115" s="174" t="s">
        <v>59</v>
      </c>
      <c r="D115" s="175"/>
      <c r="E115" s="175"/>
      <c r="F115" s="175"/>
      <c r="G115" s="175"/>
      <c r="H115" s="175"/>
      <c r="I115" s="175"/>
      <c r="J115" s="175"/>
      <c r="K115" s="176"/>
    </row>
    <row r="116" spans="2:11" x14ac:dyDescent="0.35">
      <c r="B116" s="193"/>
      <c r="C116" s="177"/>
      <c r="D116" s="178"/>
      <c r="E116" s="178"/>
      <c r="F116" s="178"/>
      <c r="G116" s="178"/>
      <c r="H116" s="178"/>
      <c r="I116" s="178"/>
      <c r="J116" s="178"/>
      <c r="K116" s="179"/>
    </row>
    <row r="117" spans="2:11" ht="15" thickBot="1" x14ac:dyDescent="0.4">
      <c r="B117" s="193"/>
      <c r="C117" s="194" t="s">
        <v>60</v>
      </c>
      <c r="D117" s="195"/>
      <c r="E117" s="195"/>
      <c r="F117" s="195"/>
      <c r="G117" s="195"/>
      <c r="H117" s="195"/>
      <c r="I117" s="195"/>
      <c r="J117" s="195"/>
      <c r="K117" s="196"/>
    </row>
    <row r="118" spans="2:11" ht="15" thickBot="1" x14ac:dyDescent="0.4"/>
    <row r="119" spans="2:11" ht="16.5" thickBot="1" x14ac:dyDescent="0.45">
      <c r="B119" s="197" t="s">
        <v>61</v>
      </c>
      <c r="C119" s="198"/>
      <c r="D119" s="198"/>
      <c r="E119" s="198"/>
      <c r="F119" s="198"/>
      <c r="G119" s="198"/>
      <c r="H119" s="198"/>
      <c r="I119" s="198"/>
      <c r="J119" s="199"/>
    </row>
    <row r="120" spans="2:11" ht="16.5" thickBot="1" x14ac:dyDescent="0.4">
      <c r="B120" s="30" t="s">
        <v>2</v>
      </c>
      <c r="C120" s="30" t="s">
        <v>62</v>
      </c>
      <c r="D120" s="30" t="s">
        <v>63</v>
      </c>
      <c r="E120" s="30" t="s">
        <v>64</v>
      </c>
      <c r="F120" s="30" t="s">
        <v>65</v>
      </c>
      <c r="G120" s="30" t="s">
        <v>66</v>
      </c>
      <c r="H120" s="30" t="s">
        <v>67</v>
      </c>
      <c r="I120" s="30" t="s">
        <v>68</v>
      </c>
      <c r="J120" s="30" t="s">
        <v>69</v>
      </c>
    </row>
    <row r="121" spans="2:11" x14ac:dyDescent="0.35">
      <c r="B121" s="78" t="s">
        <v>4</v>
      </c>
      <c r="C121" s="79" t="s">
        <v>70</v>
      </c>
      <c r="D121" s="76" t="s">
        <v>71</v>
      </c>
      <c r="E121" s="62" t="s">
        <v>72</v>
      </c>
      <c r="F121" s="62" t="s">
        <v>73</v>
      </c>
      <c r="G121" s="62" t="s">
        <v>74</v>
      </c>
      <c r="H121" s="62">
        <v>2024</v>
      </c>
      <c r="I121" s="76" t="s">
        <v>75</v>
      </c>
      <c r="J121" s="77" t="s">
        <v>76</v>
      </c>
    </row>
    <row r="122" spans="2:11" x14ac:dyDescent="0.35">
      <c r="B122" s="42" t="s">
        <v>8</v>
      </c>
      <c r="C122" s="80" t="s">
        <v>77</v>
      </c>
      <c r="D122" s="40" t="s">
        <v>78</v>
      </c>
      <c r="E122" s="41" t="s">
        <v>79</v>
      </c>
      <c r="F122" s="41" t="s">
        <v>80</v>
      </c>
      <c r="G122" s="62" t="s">
        <v>81</v>
      </c>
      <c r="H122" s="41">
        <v>2025</v>
      </c>
      <c r="I122" s="40" t="s">
        <v>82</v>
      </c>
      <c r="J122" s="63" t="s">
        <v>83</v>
      </c>
    </row>
    <row r="123" spans="2:11" x14ac:dyDescent="0.35">
      <c r="B123" s="42" t="s">
        <v>6</v>
      </c>
      <c r="C123" s="80" t="s">
        <v>84</v>
      </c>
      <c r="D123" s="40" t="s">
        <v>85</v>
      </c>
      <c r="E123" s="41" t="s">
        <v>86</v>
      </c>
      <c r="F123" s="41" t="s">
        <v>87</v>
      </c>
      <c r="G123" s="62" t="s">
        <v>88</v>
      </c>
      <c r="H123" s="41">
        <v>2026</v>
      </c>
      <c r="I123" s="40" t="s">
        <v>89</v>
      </c>
      <c r="J123" s="63" t="s">
        <v>90</v>
      </c>
    </row>
    <row r="124" spans="2:11" x14ac:dyDescent="0.35">
      <c r="B124" s="42" t="s">
        <v>91</v>
      </c>
      <c r="C124" s="80" t="s">
        <v>92</v>
      </c>
      <c r="D124" s="80" t="s">
        <v>92</v>
      </c>
      <c r="E124" s="41" t="s">
        <v>71</v>
      </c>
      <c r="F124" s="41" t="s">
        <v>93</v>
      </c>
      <c r="G124" s="62" t="s">
        <v>94</v>
      </c>
      <c r="H124" s="41">
        <v>2027</v>
      </c>
      <c r="I124" s="40" t="s">
        <v>95</v>
      </c>
      <c r="J124" s="63" t="s">
        <v>96</v>
      </c>
    </row>
    <row r="125" spans="2:11" x14ac:dyDescent="0.35">
      <c r="B125" s="42"/>
      <c r="C125" s="80" t="s">
        <v>97</v>
      </c>
      <c r="D125" s="40"/>
      <c r="E125" s="41" t="s">
        <v>98</v>
      </c>
      <c r="F125" s="41" t="s">
        <v>91</v>
      </c>
      <c r="G125" s="62" t="s">
        <v>99</v>
      </c>
      <c r="H125" s="41">
        <v>2028</v>
      </c>
      <c r="I125" s="40" t="s">
        <v>100</v>
      </c>
      <c r="J125" s="63" t="s">
        <v>101</v>
      </c>
    </row>
    <row r="126" spans="2:11" x14ac:dyDescent="0.35">
      <c r="B126" s="42"/>
      <c r="C126" s="80"/>
      <c r="D126" s="40"/>
      <c r="E126" s="41" t="s">
        <v>102</v>
      </c>
      <c r="F126" s="41" t="s">
        <v>330</v>
      </c>
      <c r="G126" s="62" t="s">
        <v>103</v>
      </c>
      <c r="H126" s="41"/>
      <c r="I126" s="40" t="s">
        <v>104</v>
      </c>
      <c r="J126" s="63" t="s">
        <v>105</v>
      </c>
    </row>
    <row r="127" spans="2:11" x14ac:dyDescent="0.35">
      <c r="B127" s="42"/>
      <c r="C127" s="80"/>
      <c r="D127" s="40"/>
      <c r="E127" s="41" t="s">
        <v>106</v>
      </c>
      <c r="F127" s="40"/>
      <c r="G127" s="62" t="s">
        <v>107</v>
      </c>
      <c r="H127" s="41"/>
      <c r="I127" s="40" t="s">
        <v>108</v>
      </c>
      <c r="J127" s="63" t="s">
        <v>109</v>
      </c>
    </row>
    <row r="128" spans="2:11" x14ac:dyDescent="0.35">
      <c r="B128" s="42"/>
      <c r="C128" s="80"/>
      <c r="D128" s="40"/>
      <c r="E128" s="41" t="s">
        <v>91</v>
      </c>
      <c r="F128" s="40"/>
      <c r="G128" s="62" t="s">
        <v>110</v>
      </c>
      <c r="H128" s="41"/>
      <c r="I128" s="40" t="s">
        <v>111</v>
      </c>
      <c r="J128" s="63" t="s">
        <v>112</v>
      </c>
    </row>
    <row r="129" spans="2:10" x14ac:dyDescent="0.35">
      <c r="B129" s="42"/>
      <c r="C129" s="80"/>
      <c r="D129" s="40"/>
      <c r="E129" s="41"/>
      <c r="F129" s="40"/>
      <c r="G129" s="62" t="s">
        <v>113</v>
      </c>
      <c r="H129" s="41"/>
      <c r="I129" s="40" t="s">
        <v>114</v>
      </c>
      <c r="J129" s="63" t="s">
        <v>115</v>
      </c>
    </row>
    <row r="130" spans="2:10" x14ac:dyDescent="0.35">
      <c r="B130" s="42"/>
      <c r="C130" s="80"/>
      <c r="D130" s="40"/>
      <c r="E130" s="41"/>
      <c r="F130" s="40"/>
      <c r="G130" s="62" t="s">
        <v>116</v>
      </c>
      <c r="H130" s="41"/>
      <c r="I130" s="40" t="s">
        <v>117</v>
      </c>
      <c r="J130" s="63" t="s">
        <v>118</v>
      </c>
    </row>
    <row r="131" spans="2:10" x14ac:dyDescent="0.35">
      <c r="B131" s="42"/>
      <c r="C131" s="80"/>
      <c r="D131" s="40"/>
      <c r="E131" s="41"/>
      <c r="F131" s="40"/>
      <c r="G131" s="62" t="s">
        <v>119</v>
      </c>
      <c r="H131" s="41"/>
      <c r="I131" s="40" t="s">
        <v>120</v>
      </c>
      <c r="J131" s="63" t="s">
        <v>121</v>
      </c>
    </row>
    <row r="132" spans="2:10" x14ac:dyDescent="0.35">
      <c r="B132" s="42"/>
      <c r="C132" s="80"/>
      <c r="D132" s="40"/>
      <c r="E132" s="41"/>
      <c r="F132" s="40"/>
      <c r="G132" s="62" t="s">
        <v>122</v>
      </c>
      <c r="H132" s="41"/>
      <c r="I132" s="40"/>
      <c r="J132" s="63" t="s">
        <v>123</v>
      </c>
    </row>
    <row r="133" spans="2:10" x14ac:dyDescent="0.35">
      <c r="B133" s="42"/>
      <c r="C133" s="80"/>
      <c r="D133" s="40"/>
      <c r="E133" s="41"/>
      <c r="F133" s="40"/>
      <c r="G133" s="62" t="s">
        <v>124</v>
      </c>
      <c r="H133" s="40"/>
      <c r="I133" s="40"/>
      <c r="J133" s="63" t="s">
        <v>125</v>
      </c>
    </row>
    <row r="134" spans="2:10" x14ac:dyDescent="0.35">
      <c r="B134" s="42"/>
      <c r="C134" s="80"/>
      <c r="D134" s="40"/>
      <c r="E134" s="41"/>
      <c r="F134" s="40"/>
      <c r="G134" s="62" t="s">
        <v>126</v>
      </c>
      <c r="H134" s="40"/>
      <c r="I134" s="40"/>
      <c r="J134" s="63" t="s">
        <v>127</v>
      </c>
    </row>
    <row r="135" spans="2:10" x14ac:dyDescent="0.35">
      <c r="B135" s="42"/>
      <c r="C135" s="80"/>
      <c r="D135" s="40"/>
      <c r="E135" s="41"/>
      <c r="F135" s="40"/>
      <c r="G135" s="62" t="s">
        <v>128</v>
      </c>
      <c r="H135" s="40"/>
      <c r="I135" s="40"/>
      <c r="J135" s="63" t="s">
        <v>129</v>
      </c>
    </row>
    <row r="136" spans="2:10" x14ac:dyDescent="0.35">
      <c r="B136" s="42"/>
      <c r="C136" s="80"/>
      <c r="D136" s="40"/>
      <c r="E136" s="41"/>
      <c r="F136" s="40"/>
      <c r="G136" s="62" t="s">
        <v>130</v>
      </c>
      <c r="H136" s="40"/>
      <c r="I136" s="40"/>
      <c r="J136" s="63" t="s">
        <v>131</v>
      </c>
    </row>
    <row r="137" spans="2:10" x14ac:dyDescent="0.35">
      <c r="B137" s="42"/>
      <c r="C137" s="80"/>
      <c r="D137" s="40"/>
      <c r="E137" s="41"/>
      <c r="F137" s="40"/>
      <c r="G137" s="62" t="s">
        <v>132</v>
      </c>
      <c r="H137" s="40"/>
      <c r="I137" s="40"/>
      <c r="J137" s="63" t="s">
        <v>133</v>
      </c>
    </row>
    <row r="138" spans="2:10" x14ac:dyDescent="0.35">
      <c r="B138" s="42"/>
      <c r="C138" s="80"/>
      <c r="D138" s="40"/>
      <c r="E138" s="41"/>
      <c r="F138" s="40"/>
      <c r="G138" s="62" t="s">
        <v>134</v>
      </c>
      <c r="H138" s="40"/>
      <c r="I138" s="40"/>
      <c r="J138" s="63" t="s">
        <v>135</v>
      </c>
    </row>
    <row r="139" spans="2:10" x14ac:dyDescent="0.35">
      <c r="B139" s="42"/>
      <c r="C139" s="80"/>
      <c r="D139" s="40"/>
      <c r="E139" s="41"/>
      <c r="F139" s="40"/>
      <c r="G139" s="62" t="s">
        <v>136</v>
      </c>
      <c r="H139" s="40"/>
      <c r="I139" s="40"/>
      <c r="J139" s="63" t="s">
        <v>137</v>
      </c>
    </row>
    <row r="140" spans="2:10" x14ac:dyDescent="0.35">
      <c r="B140" s="42"/>
      <c r="C140" s="80"/>
      <c r="D140" s="40"/>
      <c r="E140" s="41"/>
      <c r="F140" s="40"/>
      <c r="G140" s="62" t="s">
        <v>138</v>
      </c>
      <c r="H140" s="40"/>
      <c r="I140" s="40"/>
      <c r="J140" s="63" t="s">
        <v>139</v>
      </c>
    </row>
    <row r="141" spans="2:10" x14ac:dyDescent="0.35">
      <c r="B141" s="42"/>
      <c r="C141" s="80"/>
      <c r="D141" s="40"/>
      <c r="E141" s="41"/>
      <c r="F141" s="40"/>
      <c r="G141" s="62" t="s">
        <v>140</v>
      </c>
      <c r="H141" s="40"/>
      <c r="I141" s="40"/>
      <c r="J141" s="63" t="s">
        <v>141</v>
      </c>
    </row>
    <row r="142" spans="2:10" x14ac:dyDescent="0.35">
      <c r="B142" s="42"/>
      <c r="C142" s="80"/>
      <c r="D142" s="40"/>
      <c r="E142" s="41"/>
      <c r="F142" s="40"/>
      <c r="G142" s="62" t="s">
        <v>142</v>
      </c>
      <c r="H142" s="40"/>
      <c r="I142" s="40"/>
      <c r="J142" s="63" t="s">
        <v>143</v>
      </c>
    </row>
    <row r="143" spans="2:10" x14ac:dyDescent="0.35">
      <c r="B143" s="42"/>
      <c r="C143" s="80"/>
      <c r="D143" s="40"/>
      <c r="E143" s="41"/>
      <c r="F143" s="40"/>
      <c r="G143" s="62" t="s">
        <v>144</v>
      </c>
      <c r="H143" s="40"/>
      <c r="I143" s="40"/>
      <c r="J143" s="63" t="s">
        <v>145</v>
      </c>
    </row>
    <row r="144" spans="2:10" x14ac:dyDescent="0.35">
      <c r="B144" s="42"/>
      <c r="C144" s="80"/>
      <c r="D144" s="40"/>
      <c r="E144" s="41"/>
      <c r="F144" s="40"/>
      <c r="G144" s="62" t="s">
        <v>146</v>
      </c>
      <c r="H144" s="40"/>
      <c r="I144" s="40"/>
      <c r="J144" s="63" t="s">
        <v>147</v>
      </c>
    </row>
    <row r="145" spans="2:10" x14ac:dyDescent="0.35">
      <c r="B145" s="42"/>
      <c r="C145" s="80"/>
      <c r="D145" s="40"/>
      <c r="E145" s="41"/>
      <c r="F145" s="40"/>
      <c r="G145" s="62" t="s">
        <v>148</v>
      </c>
      <c r="H145" s="40"/>
      <c r="I145" s="40"/>
      <c r="J145" s="63" t="s">
        <v>92</v>
      </c>
    </row>
    <row r="146" spans="2:10" x14ac:dyDescent="0.35">
      <c r="B146" s="42"/>
      <c r="C146" s="80"/>
      <c r="D146" s="40"/>
      <c r="E146" s="41"/>
      <c r="F146" s="40"/>
      <c r="G146" s="62" t="s">
        <v>149</v>
      </c>
      <c r="H146" s="40"/>
      <c r="I146" s="40"/>
      <c r="J146" s="63" t="s">
        <v>150</v>
      </c>
    </row>
    <row r="147" spans="2:10" x14ac:dyDescent="0.35">
      <c r="B147" s="42"/>
      <c r="C147" s="80"/>
      <c r="D147" s="40"/>
      <c r="E147" s="41"/>
      <c r="F147" s="40"/>
      <c r="G147" s="62" t="s">
        <v>151</v>
      </c>
      <c r="H147" s="40"/>
      <c r="I147" s="40"/>
      <c r="J147" s="63" t="s">
        <v>152</v>
      </c>
    </row>
    <row r="148" spans="2:10" x14ac:dyDescent="0.35">
      <c r="B148" s="42"/>
      <c r="C148" s="80"/>
      <c r="D148" s="40"/>
      <c r="E148" s="41"/>
      <c r="F148" s="40"/>
      <c r="G148" s="62" t="s">
        <v>153</v>
      </c>
      <c r="H148" s="40"/>
      <c r="I148" s="40"/>
      <c r="J148" s="63" t="s">
        <v>154</v>
      </c>
    </row>
    <row r="149" spans="2:10" x14ac:dyDescent="0.35">
      <c r="B149" s="42"/>
      <c r="C149" s="80"/>
      <c r="D149" s="40"/>
      <c r="E149" s="41"/>
      <c r="F149" s="40"/>
      <c r="G149" s="62" t="s">
        <v>155</v>
      </c>
      <c r="H149" s="40"/>
      <c r="I149" s="40"/>
      <c r="J149" s="63" t="s">
        <v>156</v>
      </c>
    </row>
    <row r="150" spans="2:10" x14ac:dyDescent="0.35">
      <c r="B150" s="42"/>
      <c r="C150" s="80"/>
      <c r="D150" s="40"/>
      <c r="E150" s="41"/>
      <c r="F150" s="40"/>
      <c r="G150" s="62" t="s">
        <v>157</v>
      </c>
      <c r="H150" s="40"/>
      <c r="I150" s="40"/>
      <c r="J150" s="63" t="s">
        <v>158</v>
      </c>
    </row>
    <row r="151" spans="2:10" x14ac:dyDescent="0.35">
      <c r="B151" s="42"/>
      <c r="C151" s="80"/>
      <c r="D151" s="40"/>
      <c r="E151" s="41"/>
      <c r="F151" s="40"/>
      <c r="G151" s="62" t="s">
        <v>159</v>
      </c>
      <c r="H151" s="40"/>
      <c r="I151" s="40"/>
      <c r="J151" s="63" t="s">
        <v>160</v>
      </c>
    </row>
    <row r="152" spans="2:10" x14ac:dyDescent="0.35">
      <c r="B152" s="42"/>
      <c r="C152" s="80"/>
      <c r="D152" s="40"/>
      <c r="E152" s="41"/>
      <c r="F152" s="40"/>
      <c r="G152" s="62" t="s">
        <v>161</v>
      </c>
      <c r="H152" s="40"/>
      <c r="I152" s="40"/>
      <c r="J152" s="63" t="s">
        <v>162</v>
      </c>
    </row>
    <row r="153" spans="2:10" x14ac:dyDescent="0.35">
      <c r="B153" s="42"/>
      <c r="C153" s="80"/>
      <c r="D153" s="40"/>
      <c r="E153" s="41"/>
      <c r="F153" s="40"/>
      <c r="G153" s="62" t="s">
        <v>163</v>
      </c>
      <c r="H153" s="40"/>
      <c r="I153" s="40"/>
      <c r="J153" s="63" t="s">
        <v>164</v>
      </c>
    </row>
    <row r="154" spans="2:10" x14ac:dyDescent="0.35">
      <c r="B154" s="42"/>
      <c r="C154" s="80"/>
      <c r="D154" s="40"/>
      <c r="E154" s="41"/>
      <c r="F154" s="40"/>
      <c r="G154" s="62" t="s">
        <v>165</v>
      </c>
      <c r="H154" s="40"/>
      <c r="I154" s="40"/>
      <c r="J154" s="63" t="s">
        <v>166</v>
      </c>
    </row>
    <row r="155" spans="2:10" x14ac:dyDescent="0.35">
      <c r="B155" s="42"/>
      <c r="C155" s="80"/>
      <c r="D155" s="40"/>
      <c r="E155" s="41"/>
      <c r="F155" s="40"/>
      <c r="G155" s="62" t="s">
        <v>167</v>
      </c>
      <c r="H155" s="40"/>
      <c r="I155" s="40"/>
      <c r="J155" s="63" t="s">
        <v>168</v>
      </c>
    </row>
    <row r="156" spans="2:10" x14ac:dyDescent="0.35">
      <c r="B156" s="42"/>
      <c r="C156" s="80"/>
      <c r="D156" s="40"/>
      <c r="E156" s="41"/>
      <c r="F156" s="40"/>
      <c r="G156" s="62" t="s">
        <v>169</v>
      </c>
      <c r="H156" s="40"/>
      <c r="I156" s="40"/>
      <c r="J156" s="63" t="s">
        <v>170</v>
      </c>
    </row>
    <row r="157" spans="2:10" x14ac:dyDescent="0.35">
      <c r="B157" s="42"/>
      <c r="C157" s="80"/>
      <c r="D157" s="40"/>
      <c r="E157" s="41"/>
      <c r="F157" s="40"/>
      <c r="G157" s="62" t="s">
        <v>171</v>
      </c>
      <c r="H157" s="40"/>
      <c r="I157" s="40"/>
      <c r="J157" s="63" t="s">
        <v>172</v>
      </c>
    </row>
    <row r="158" spans="2:10" x14ac:dyDescent="0.35">
      <c r="B158" s="42"/>
      <c r="C158" s="80"/>
      <c r="D158" s="40"/>
      <c r="E158" s="41"/>
      <c r="F158" s="40"/>
      <c r="G158" s="62" t="s">
        <v>173</v>
      </c>
      <c r="H158" s="40"/>
      <c r="I158" s="40"/>
      <c r="J158" s="63" t="s">
        <v>174</v>
      </c>
    </row>
    <row r="159" spans="2:10" x14ac:dyDescent="0.35">
      <c r="B159" s="42"/>
      <c r="C159" s="80"/>
      <c r="D159" s="40"/>
      <c r="E159" s="41"/>
      <c r="F159" s="40"/>
      <c r="G159" s="62" t="s">
        <v>175</v>
      </c>
      <c r="H159" s="40"/>
      <c r="I159" s="40"/>
      <c r="J159" s="63" t="s">
        <v>176</v>
      </c>
    </row>
    <row r="160" spans="2:10" x14ac:dyDescent="0.35">
      <c r="B160" s="42"/>
      <c r="C160" s="80"/>
      <c r="D160" s="40"/>
      <c r="E160" s="41"/>
      <c r="F160" s="40"/>
      <c r="G160" s="62" t="s">
        <v>177</v>
      </c>
      <c r="H160" s="40"/>
      <c r="I160" s="40"/>
      <c r="J160" s="63" t="s">
        <v>178</v>
      </c>
    </row>
    <row r="161" spans="2:10" x14ac:dyDescent="0.35">
      <c r="B161" s="42"/>
      <c r="C161" s="80"/>
      <c r="D161" s="40"/>
      <c r="E161" s="41"/>
      <c r="F161" s="40"/>
      <c r="G161" s="62" t="s">
        <v>179</v>
      </c>
      <c r="H161" s="40"/>
      <c r="I161" s="40"/>
      <c r="J161" s="63" t="s">
        <v>180</v>
      </c>
    </row>
    <row r="162" spans="2:10" x14ac:dyDescent="0.35">
      <c r="B162" s="42"/>
      <c r="C162" s="80"/>
      <c r="D162" s="40"/>
      <c r="E162" s="41"/>
      <c r="F162" s="40"/>
      <c r="G162" s="62" t="s">
        <v>181</v>
      </c>
      <c r="H162" s="40"/>
      <c r="I162" s="40"/>
      <c r="J162" s="63" t="s">
        <v>182</v>
      </c>
    </row>
    <row r="163" spans="2:10" x14ac:dyDescent="0.35">
      <c r="B163" s="42"/>
      <c r="C163" s="80"/>
      <c r="D163" s="40"/>
      <c r="E163" s="41"/>
      <c r="F163" s="40"/>
      <c r="G163" s="62" t="s">
        <v>551</v>
      </c>
      <c r="H163" s="40"/>
      <c r="I163" s="40"/>
      <c r="J163" s="63" t="s">
        <v>183</v>
      </c>
    </row>
    <row r="164" spans="2:10" x14ac:dyDescent="0.35">
      <c r="B164" s="42"/>
      <c r="C164" s="80"/>
      <c r="D164" s="40"/>
      <c r="E164" s="41"/>
      <c r="F164" s="40"/>
      <c r="G164" s="62" t="s">
        <v>552</v>
      </c>
      <c r="H164" s="40"/>
      <c r="I164" s="40"/>
      <c r="J164" s="63" t="s">
        <v>184</v>
      </c>
    </row>
    <row r="165" spans="2:10" x14ac:dyDescent="0.35">
      <c r="B165" s="42"/>
      <c r="C165" s="80"/>
      <c r="D165" s="40"/>
      <c r="E165" s="41"/>
      <c r="F165" s="40"/>
      <c r="G165" s="62" t="s">
        <v>553</v>
      </c>
      <c r="H165" s="40"/>
      <c r="I165" s="40"/>
      <c r="J165" s="63" t="s">
        <v>185</v>
      </c>
    </row>
    <row r="166" spans="2:10" x14ac:dyDescent="0.35">
      <c r="B166" s="42"/>
      <c r="C166" s="80"/>
      <c r="D166" s="40"/>
      <c r="E166" s="41"/>
      <c r="F166" s="40"/>
      <c r="G166" s="62" t="s">
        <v>554</v>
      </c>
      <c r="H166" s="40"/>
      <c r="I166" s="40"/>
      <c r="J166" s="63" t="s">
        <v>186</v>
      </c>
    </row>
    <row r="167" spans="2:10" x14ac:dyDescent="0.35">
      <c r="B167" s="42"/>
      <c r="C167" s="80"/>
      <c r="D167" s="40"/>
      <c r="E167" s="41"/>
      <c r="F167" s="40"/>
      <c r="G167" s="62" t="s">
        <v>555</v>
      </c>
      <c r="H167" s="40"/>
      <c r="I167" s="40"/>
      <c r="J167" s="63" t="s">
        <v>187</v>
      </c>
    </row>
    <row r="168" spans="2:10" ht="15" thickBot="1" x14ac:dyDescent="0.4">
      <c r="B168" s="39"/>
      <c r="C168" s="81"/>
      <c r="D168" s="37"/>
      <c r="E168" s="38"/>
      <c r="F168" s="37"/>
      <c r="G168" s="62" t="s">
        <v>556</v>
      </c>
      <c r="H168" s="37"/>
      <c r="I168" s="37"/>
      <c r="J168" s="64" t="s">
        <v>188</v>
      </c>
    </row>
    <row r="169" spans="2:10" x14ac:dyDescent="0.35">
      <c r="D169" s="58"/>
      <c r="J169" s="138" t="s">
        <v>477</v>
      </c>
    </row>
    <row r="170" spans="2:10" x14ac:dyDescent="0.35">
      <c r="D170" s="58"/>
      <c r="J170" s="138" t="s">
        <v>482</v>
      </c>
    </row>
    <row r="171" spans="2:10" x14ac:dyDescent="0.35">
      <c r="D171" s="58"/>
    </row>
    <row r="172" spans="2:10" x14ac:dyDescent="0.35">
      <c r="D172" s="58"/>
    </row>
    <row r="173" spans="2:10" x14ac:dyDescent="0.35">
      <c r="D173" s="58"/>
    </row>
    <row r="174" spans="2:10" ht="24" customHeight="1" x14ac:dyDescent="0.35">
      <c r="C174" s="36"/>
    </row>
    <row r="175" spans="2:10" ht="24" customHeight="1" x14ac:dyDescent="0.35"/>
    <row r="177" ht="19" customHeight="1" x14ac:dyDescent="0.35"/>
    <row r="178" ht="19" customHeight="1" x14ac:dyDescent="0.35"/>
    <row r="179" ht="19" customHeight="1" x14ac:dyDescent="0.35"/>
    <row r="180" ht="19" customHeight="1" x14ac:dyDescent="0.35"/>
    <row r="181" ht="19" customHeight="1" x14ac:dyDescent="0.35"/>
    <row r="182" ht="19" customHeight="1" x14ac:dyDescent="0.35"/>
    <row r="183" ht="19" customHeight="1" x14ac:dyDescent="0.35"/>
    <row r="184" ht="15" customHeight="1" x14ac:dyDescent="0.35"/>
    <row r="185" ht="14.5" customHeight="1" x14ac:dyDescent="0.35"/>
    <row r="186" ht="14.5" customHeight="1" x14ac:dyDescent="0.35"/>
    <row r="187" ht="14.5" customHeight="1" x14ac:dyDescent="0.35"/>
    <row r="188" ht="14.5" customHeight="1" x14ac:dyDescent="0.35"/>
    <row r="189" ht="14.5" customHeight="1" x14ac:dyDescent="0.35"/>
    <row r="190" ht="14.5" customHeight="1" x14ac:dyDescent="0.35"/>
    <row r="218" spans="2:10" x14ac:dyDescent="0.35">
      <c r="B218" s="95"/>
      <c r="C218" s="95"/>
      <c r="D218" s="95"/>
      <c r="E218" s="95"/>
      <c r="F218" s="95"/>
      <c r="H218" s="95"/>
      <c r="I218" s="95"/>
      <c r="J218" s="95"/>
    </row>
    <row r="219" spans="2:10" x14ac:dyDescent="0.35">
      <c r="B219" s="95"/>
      <c r="C219" s="95"/>
      <c r="D219" s="95"/>
      <c r="E219" s="95"/>
      <c r="F219" s="95"/>
      <c r="H219" s="95"/>
      <c r="I219" s="95"/>
      <c r="J219" s="95"/>
    </row>
    <row r="220" spans="2:10" x14ac:dyDescent="0.35">
      <c r="B220" s="95"/>
      <c r="C220" s="95"/>
      <c r="D220" s="95"/>
      <c r="E220" s="95"/>
      <c r="F220" s="95"/>
      <c r="H220" s="95"/>
      <c r="I220" s="95"/>
      <c r="J220" s="95"/>
    </row>
    <row r="221" spans="2:10" x14ac:dyDescent="0.35">
      <c r="B221" s="95"/>
      <c r="C221" s="95"/>
      <c r="D221" s="95"/>
      <c r="E221" s="95"/>
      <c r="F221" s="95"/>
      <c r="H221" s="95"/>
      <c r="I221" s="95"/>
      <c r="J221" s="95"/>
    </row>
    <row r="222" spans="2:10" x14ac:dyDescent="0.35">
      <c r="B222" s="95"/>
      <c r="C222" s="95"/>
      <c r="D222" s="95"/>
      <c r="E222" s="95"/>
      <c r="F222" s="95"/>
      <c r="H222" s="95"/>
      <c r="I222" s="95"/>
      <c r="J222" s="95"/>
    </row>
    <row r="223" spans="2:10" x14ac:dyDescent="0.35">
      <c r="B223" s="95"/>
      <c r="C223" s="95"/>
      <c r="D223" s="95"/>
      <c r="E223" s="95"/>
      <c r="F223" s="95"/>
      <c r="H223" s="95"/>
      <c r="I223" s="95"/>
      <c r="J223" s="95"/>
    </row>
    <row r="224" spans="2:10" x14ac:dyDescent="0.35">
      <c r="B224" s="95"/>
      <c r="C224" s="95"/>
      <c r="D224" s="95"/>
      <c r="E224" s="95"/>
      <c r="F224" s="95"/>
      <c r="H224" s="95"/>
      <c r="I224" s="95"/>
      <c r="J224" s="95"/>
    </row>
    <row r="230" spans="7:7" x14ac:dyDescent="0.35">
      <c r="G230" s="95"/>
    </row>
    <row r="231" spans="7:7" x14ac:dyDescent="0.35">
      <c r="G231" s="95"/>
    </row>
    <row r="232" spans="7:7" x14ac:dyDescent="0.35">
      <c r="G232" s="95"/>
    </row>
    <row r="233" spans="7:7" x14ac:dyDescent="0.35">
      <c r="G233" s="95"/>
    </row>
    <row r="234" spans="7:7" x14ac:dyDescent="0.35">
      <c r="G234" s="95"/>
    </row>
    <row r="235" spans="7:7" x14ac:dyDescent="0.35">
      <c r="G235" s="95"/>
    </row>
    <row r="236" spans="7:7" x14ac:dyDescent="0.35">
      <c r="G236" s="95"/>
    </row>
  </sheetData>
  <mergeCells count="35">
    <mergeCell ref="B13:B14"/>
    <mergeCell ref="B60:K60"/>
    <mergeCell ref="B61:K61"/>
    <mergeCell ref="B80:K80"/>
    <mergeCell ref="C81:K81"/>
    <mergeCell ref="B45:K46"/>
    <mergeCell ref="B51:B53"/>
    <mergeCell ref="B47:B50"/>
    <mergeCell ref="B5:B6"/>
    <mergeCell ref="C5:K6"/>
    <mergeCell ref="C7:K7"/>
    <mergeCell ref="C8:K8"/>
    <mergeCell ref="C9:K9"/>
    <mergeCell ref="B119:J119"/>
    <mergeCell ref="B82:B94"/>
    <mergeCell ref="C91:F91"/>
    <mergeCell ref="C116:K116"/>
    <mergeCell ref="C117:K117"/>
    <mergeCell ref="C114:K114"/>
    <mergeCell ref="B1:K2"/>
    <mergeCell ref="B3:K3"/>
    <mergeCell ref="B16:K17"/>
    <mergeCell ref="C112:K112"/>
    <mergeCell ref="C113:K113"/>
    <mergeCell ref="B54:B56"/>
    <mergeCell ref="C54:K54"/>
    <mergeCell ref="C55:K55"/>
    <mergeCell ref="C56:K56"/>
    <mergeCell ref="B107:K107"/>
    <mergeCell ref="C108:K108"/>
    <mergeCell ref="B109:B117"/>
    <mergeCell ref="C109:K109"/>
    <mergeCell ref="C110:K110"/>
    <mergeCell ref="C111:K111"/>
    <mergeCell ref="C115:K115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BD8A-C28C-4251-A7CA-BBF0F2CFC5E4}">
  <sheetPr codeName="Sheet3"/>
  <dimension ref="A1:AV1048201"/>
  <sheetViews>
    <sheetView showGridLines="0" zoomScale="70" zoomScaleNormal="70" workbookViewId="0">
      <pane ySplit="1" topLeftCell="A81" activePane="bottomLeft" state="frozen"/>
      <selection pane="bottomLeft" activeCell="C81" sqref="C81"/>
    </sheetView>
  </sheetViews>
  <sheetFormatPr defaultRowHeight="14.5" outlineLevelCol="1" x14ac:dyDescent="0.35"/>
  <cols>
    <col min="1" max="1" width="24.453125" bestFit="1" customWidth="1"/>
    <col min="2" max="2" width="29.54296875" bestFit="1" customWidth="1"/>
    <col min="3" max="3" width="91.453125" bestFit="1" customWidth="1"/>
    <col min="4" max="4" width="16" style="84" hidden="1" customWidth="1"/>
    <col min="5" max="5" width="21" bestFit="1" customWidth="1"/>
    <col min="6" max="6" width="20.453125" style="9" bestFit="1" customWidth="1"/>
    <col min="7" max="7" width="12.81640625" bestFit="1" customWidth="1"/>
    <col min="8" max="8" width="20.54296875" bestFit="1" customWidth="1"/>
    <col min="9" max="9" width="18.453125" bestFit="1" customWidth="1"/>
    <col min="10" max="10" width="16.54296875" bestFit="1" customWidth="1"/>
    <col min="11" max="11" width="33.453125" bestFit="1" customWidth="1"/>
    <col min="12" max="12" width="35" bestFit="1" customWidth="1"/>
    <col min="13" max="13" width="23.26953125" bestFit="1" customWidth="1" outlineLevel="1"/>
    <col min="14" max="14" width="25.1796875" bestFit="1" customWidth="1" outlineLevel="1"/>
    <col min="15" max="15" width="21" bestFit="1" customWidth="1" outlineLevel="1"/>
    <col min="16" max="16" width="19.1796875" bestFit="1" customWidth="1" outlineLevel="1"/>
    <col min="17" max="17" width="18" bestFit="1" customWidth="1" outlineLevel="1"/>
    <col min="18" max="18" width="19.1796875" bestFit="1" customWidth="1" outlineLevel="1"/>
    <col min="19" max="19" width="18" bestFit="1" customWidth="1" outlineLevel="1"/>
    <col min="20" max="20" width="21.81640625" bestFit="1" customWidth="1" outlineLevel="1"/>
    <col min="21" max="21" width="28.453125" bestFit="1" customWidth="1" outlineLevel="1"/>
    <col min="22" max="22" width="23.81640625" bestFit="1" customWidth="1" outlineLevel="1"/>
    <col min="23" max="24" width="27.54296875" bestFit="1" customWidth="1" outlineLevel="1"/>
    <col min="25" max="25" width="23.26953125" bestFit="1" customWidth="1"/>
    <col min="26" max="26" width="25.1796875" bestFit="1" customWidth="1"/>
    <col min="27" max="27" width="21" bestFit="1" customWidth="1"/>
    <col min="28" max="28" width="19.1796875" bestFit="1" customWidth="1"/>
    <col min="29" max="29" width="18" bestFit="1" customWidth="1"/>
    <col min="30" max="30" width="19.1796875" bestFit="1" customWidth="1"/>
    <col min="31" max="31" width="18" bestFit="1" customWidth="1"/>
    <col min="32" max="32" width="21.81640625" bestFit="1" customWidth="1"/>
    <col min="33" max="33" width="28.453125" bestFit="1" customWidth="1"/>
    <col min="34" max="34" width="23.81640625" bestFit="1" customWidth="1"/>
    <col min="35" max="36" width="27.54296875" bestFit="1" customWidth="1"/>
    <col min="37" max="37" width="23.26953125" bestFit="1" customWidth="1" outlineLevel="1"/>
    <col min="38" max="42" width="25.26953125" customWidth="1" outlineLevel="1"/>
    <col min="43" max="48" width="25" customWidth="1"/>
  </cols>
  <sheetData>
    <row r="1" spans="1:48" ht="29.15" customHeight="1" thickBot="1" x14ac:dyDescent="0.4">
      <c r="A1" s="143" t="s">
        <v>62</v>
      </c>
      <c r="B1" s="144" t="s">
        <v>69</v>
      </c>
      <c r="C1" s="144" t="s">
        <v>191</v>
      </c>
      <c r="D1" s="144" t="s">
        <v>43</v>
      </c>
      <c r="E1" s="144" t="s">
        <v>64</v>
      </c>
      <c r="F1" s="144" t="s">
        <v>63</v>
      </c>
      <c r="G1" s="144" t="s">
        <v>2</v>
      </c>
      <c r="H1" s="144" t="s">
        <v>65</v>
      </c>
      <c r="I1" s="144" t="s">
        <v>45</v>
      </c>
      <c r="J1" s="144" t="s">
        <v>192</v>
      </c>
      <c r="K1" s="144" t="s">
        <v>193</v>
      </c>
      <c r="L1" s="144" t="s">
        <v>194</v>
      </c>
      <c r="M1" s="106" t="s">
        <v>124</v>
      </c>
      <c r="N1" s="106" t="s">
        <v>126</v>
      </c>
      <c r="O1" s="106" t="s">
        <v>128</v>
      </c>
      <c r="P1" s="106" t="s">
        <v>130</v>
      </c>
      <c r="Q1" s="106" t="s">
        <v>132</v>
      </c>
      <c r="R1" s="106" t="s">
        <v>134</v>
      </c>
      <c r="S1" s="106" t="s">
        <v>136</v>
      </c>
      <c r="T1" s="106" t="s">
        <v>138</v>
      </c>
      <c r="U1" s="106" t="s">
        <v>140</v>
      </c>
      <c r="V1" s="106" t="s">
        <v>142</v>
      </c>
      <c r="W1" s="106" t="s">
        <v>144</v>
      </c>
      <c r="X1" s="106" t="s">
        <v>146</v>
      </c>
      <c r="Y1" s="106" t="s">
        <v>148</v>
      </c>
      <c r="Z1" s="106" t="s">
        <v>149</v>
      </c>
      <c r="AA1" s="106" t="s">
        <v>151</v>
      </c>
      <c r="AB1" s="106" t="s">
        <v>153</v>
      </c>
      <c r="AC1" s="106" t="s">
        <v>155</v>
      </c>
      <c r="AD1" s="106" t="s">
        <v>157</v>
      </c>
      <c r="AE1" s="106" t="s">
        <v>159</v>
      </c>
      <c r="AF1" s="106" t="s">
        <v>161</v>
      </c>
      <c r="AG1" s="106" t="s">
        <v>163</v>
      </c>
      <c r="AH1" s="106" t="s">
        <v>165</v>
      </c>
      <c r="AI1" s="106" t="s">
        <v>167</v>
      </c>
      <c r="AJ1" s="106" t="s">
        <v>169</v>
      </c>
      <c r="AK1" s="106" t="s">
        <v>171</v>
      </c>
      <c r="AL1" s="106" t="s">
        <v>173</v>
      </c>
      <c r="AM1" s="106" t="s">
        <v>175</v>
      </c>
      <c r="AN1" s="106" t="s">
        <v>177</v>
      </c>
      <c r="AO1" s="106" t="s">
        <v>179</v>
      </c>
      <c r="AP1" s="111" t="s">
        <v>181</v>
      </c>
      <c r="AQ1" s="111" t="s">
        <v>551</v>
      </c>
      <c r="AR1" s="111" t="s">
        <v>552</v>
      </c>
      <c r="AS1" s="111" t="s">
        <v>553</v>
      </c>
      <c r="AT1" s="111" t="s">
        <v>554</v>
      </c>
      <c r="AU1" s="111" t="s">
        <v>555</v>
      </c>
      <c r="AV1" s="111" t="s">
        <v>556</v>
      </c>
    </row>
    <row r="2" spans="1:48" ht="18.649999999999999" customHeight="1" x14ac:dyDescent="0.35">
      <c r="A2" s="107" t="s">
        <v>70</v>
      </c>
      <c r="B2" s="69" t="s">
        <v>76</v>
      </c>
      <c r="C2" s="71" t="s">
        <v>415</v>
      </c>
      <c r="D2" s="85">
        <v>1</v>
      </c>
      <c r="E2" s="88" t="s">
        <v>71</v>
      </c>
      <c r="F2" s="69" t="s">
        <v>71</v>
      </c>
      <c r="G2" s="72" t="s">
        <v>4</v>
      </c>
      <c r="H2" s="70" t="s">
        <v>93</v>
      </c>
      <c r="I2" s="70" t="s">
        <v>128</v>
      </c>
      <c r="J2" s="5">
        <v>2025</v>
      </c>
      <c r="K2" s="67">
        <f>968+242</f>
        <v>1210</v>
      </c>
      <c r="L2" s="68">
        <v>10</v>
      </c>
      <c r="M2" s="66"/>
      <c r="N2" s="66"/>
      <c r="O2" s="65">
        <v>172.85714285714286</v>
      </c>
      <c r="P2" s="65">
        <v>172.85714285714286</v>
      </c>
      <c r="Q2" s="65">
        <v>172.85714285714286</v>
      </c>
      <c r="R2" s="65">
        <v>172.85714285714286</v>
      </c>
      <c r="S2" s="65">
        <v>102</v>
      </c>
      <c r="T2" s="65">
        <v>50</v>
      </c>
      <c r="U2" s="65">
        <v>100</v>
      </c>
      <c r="V2" s="66"/>
      <c r="W2" s="66"/>
      <c r="X2" s="66">
        <v>137</v>
      </c>
      <c r="Y2" s="66">
        <v>130</v>
      </c>
      <c r="Z2" s="66">
        <v>130</v>
      </c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</row>
    <row r="3" spans="1:48" ht="18.649999999999999" customHeight="1" x14ac:dyDescent="0.35">
      <c r="A3" s="107" t="s">
        <v>70</v>
      </c>
      <c r="B3" s="69" t="s">
        <v>76</v>
      </c>
      <c r="C3" s="71" t="s">
        <v>473</v>
      </c>
      <c r="D3" s="85">
        <v>1</v>
      </c>
      <c r="E3" s="88" t="s">
        <v>71</v>
      </c>
      <c r="F3" s="69" t="s">
        <v>71</v>
      </c>
      <c r="G3" s="72" t="s">
        <v>8</v>
      </c>
      <c r="H3" s="70" t="s">
        <v>73</v>
      </c>
      <c r="I3" s="70" t="s">
        <v>151</v>
      </c>
      <c r="J3" s="5">
        <v>2026</v>
      </c>
      <c r="K3" s="67">
        <v>1168</v>
      </c>
      <c r="L3" s="68">
        <v>3</v>
      </c>
      <c r="M3" s="66"/>
      <c r="N3" s="66"/>
      <c r="O3" s="66"/>
      <c r="P3" s="66"/>
      <c r="Q3" s="66"/>
      <c r="R3" s="66"/>
      <c r="S3" s="66"/>
      <c r="T3" s="66"/>
      <c r="U3" s="65"/>
      <c r="V3" s="65"/>
      <c r="W3" s="65"/>
      <c r="X3" s="65"/>
      <c r="Y3" s="65"/>
      <c r="Z3" s="65"/>
      <c r="AA3" s="65">
        <f>($K3*$D3)/$L3</f>
        <v>389.33333333333331</v>
      </c>
      <c r="AB3" s="65">
        <f>($K3*$D3)/$L3</f>
        <v>389.33333333333331</v>
      </c>
      <c r="AC3" s="65">
        <f>($K3*$D3)/$L3</f>
        <v>389.33333333333331</v>
      </c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</row>
    <row r="4" spans="1:48" ht="18.649999999999999" customHeight="1" x14ac:dyDescent="0.35">
      <c r="A4" s="107" t="s">
        <v>70</v>
      </c>
      <c r="B4" s="69" t="s">
        <v>76</v>
      </c>
      <c r="C4" s="71" t="s">
        <v>416</v>
      </c>
      <c r="D4" s="85">
        <v>1</v>
      </c>
      <c r="E4" s="88" t="s">
        <v>71</v>
      </c>
      <c r="F4" s="69" t="s">
        <v>71</v>
      </c>
      <c r="G4" s="72" t="s">
        <v>4</v>
      </c>
      <c r="H4" s="70" t="s">
        <v>87</v>
      </c>
      <c r="I4" s="70" t="s">
        <v>144</v>
      </c>
      <c r="J4" s="5">
        <v>2025</v>
      </c>
      <c r="K4" s="67">
        <v>650</v>
      </c>
      <c r="L4" s="68">
        <v>3</v>
      </c>
      <c r="M4" s="66"/>
      <c r="N4" s="66"/>
      <c r="O4" s="66"/>
      <c r="P4" s="66"/>
      <c r="Q4" s="66"/>
      <c r="R4" s="66"/>
      <c r="S4" s="66"/>
      <c r="T4" s="66"/>
      <c r="U4" s="66"/>
      <c r="V4" s="65"/>
      <c r="W4" s="65">
        <v>350</v>
      </c>
      <c r="X4" s="65">
        <v>150</v>
      </c>
      <c r="Y4" s="65">
        <v>150</v>
      </c>
      <c r="Z4" s="65">
        <v>90</v>
      </c>
      <c r="AA4" s="65">
        <v>40</v>
      </c>
      <c r="AB4" s="66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</row>
    <row r="5" spans="1:48" ht="18.649999999999999" customHeight="1" x14ac:dyDescent="0.35">
      <c r="A5" s="107" t="s">
        <v>70</v>
      </c>
      <c r="B5" s="69" t="s">
        <v>76</v>
      </c>
      <c r="C5" s="71" t="s">
        <v>417</v>
      </c>
      <c r="D5" s="85">
        <v>1</v>
      </c>
      <c r="E5" s="69" t="s">
        <v>71</v>
      </c>
      <c r="F5" s="69" t="s">
        <v>71</v>
      </c>
      <c r="G5" s="72" t="s">
        <v>4</v>
      </c>
      <c r="H5" s="70" t="s">
        <v>93</v>
      </c>
      <c r="I5" s="70" t="s">
        <v>138</v>
      </c>
      <c r="J5" s="5">
        <v>2025</v>
      </c>
      <c r="K5" s="67">
        <v>533</v>
      </c>
      <c r="L5" s="68">
        <v>4</v>
      </c>
      <c r="M5" s="66"/>
      <c r="N5" s="66"/>
      <c r="O5" s="66"/>
      <c r="P5" s="66"/>
      <c r="Q5" s="66"/>
      <c r="R5" s="66"/>
      <c r="S5" s="65"/>
      <c r="T5" s="65">
        <v>133.33333333333334</v>
      </c>
      <c r="U5" s="65">
        <v>133.33333333333334</v>
      </c>
      <c r="V5" s="65">
        <v>133.33333333333334</v>
      </c>
      <c r="W5" s="65">
        <v>133.33333333333334</v>
      </c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</row>
    <row r="6" spans="1:48" ht="16" x14ac:dyDescent="0.35">
      <c r="A6" s="107" t="s">
        <v>70</v>
      </c>
      <c r="B6" s="69" t="s">
        <v>76</v>
      </c>
      <c r="C6" s="71" t="s">
        <v>518</v>
      </c>
      <c r="D6" s="85">
        <v>1</v>
      </c>
      <c r="E6" s="69" t="s">
        <v>71</v>
      </c>
      <c r="F6" s="69" t="s">
        <v>71</v>
      </c>
      <c r="G6" s="72" t="s">
        <v>4</v>
      </c>
      <c r="H6" s="70" t="s">
        <v>93</v>
      </c>
      <c r="I6" s="70" t="s">
        <v>132</v>
      </c>
      <c r="J6" s="5">
        <v>2025</v>
      </c>
      <c r="K6" s="67">
        <v>1330</v>
      </c>
      <c r="L6" s="68">
        <v>6</v>
      </c>
      <c r="M6" s="66"/>
      <c r="N6" s="82"/>
      <c r="O6" s="66"/>
      <c r="P6" s="66"/>
      <c r="Q6" s="65">
        <v>242</v>
      </c>
      <c r="R6" s="65">
        <v>350</v>
      </c>
      <c r="S6" s="65">
        <v>50</v>
      </c>
      <c r="T6" s="65">
        <v>150</v>
      </c>
      <c r="U6" s="65">
        <v>160</v>
      </c>
      <c r="V6" s="66">
        <v>300</v>
      </c>
      <c r="W6" s="66">
        <v>78</v>
      </c>
      <c r="X6" s="65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</row>
    <row r="7" spans="1:48" ht="16" x14ac:dyDescent="0.35">
      <c r="A7" s="107" t="s">
        <v>70</v>
      </c>
      <c r="B7" s="69" t="s">
        <v>83</v>
      </c>
      <c r="C7" s="71" t="s">
        <v>435</v>
      </c>
      <c r="D7" s="85">
        <v>1</v>
      </c>
      <c r="E7" s="72" t="s">
        <v>71</v>
      </c>
      <c r="F7" s="69" t="s">
        <v>71</v>
      </c>
      <c r="G7" s="70" t="s">
        <v>4</v>
      </c>
      <c r="H7" s="70" t="s">
        <v>93</v>
      </c>
      <c r="I7" s="70" t="s">
        <v>126</v>
      </c>
      <c r="J7" s="5">
        <v>2025</v>
      </c>
      <c r="K7" s="67">
        <v>816</v>
      </c>
      <c r="L7" s="68">
        <v>3</v>
      </c>
      <c r="M7" s="66"/>
      <c r="N7" s="65">
        <f t="shared" ref="N7:P8" si="0">($K7*$D7)/$L7</f>
        <v>272</v>
      </c>
      <c r="O7" s="65">
        <f t="shared" si="0"/>
        <v>272</v>
      </c>
      <c r="P7" s="65">
        <f t="shared" si="0"/>
        <v>272</v>
      </c>
      <c r="Q7" s="66"/>
      <c r="R7" s="66"/>
      <c r="S7" s="66"/>
      <c r="T7" s="66"/>
      <c r="U7" s="66"/>
      <c r="V7" s="66"/>
      <c r="W7" s="66"/>
      <c r="X7" s="65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</row>
    <row r="8" spans="1:48" ht="16" x14ac:dyDescent="0.35">
      <c r="A8" s="107" t="s">
        <v>70</v>
      </c>
      <c r="B8" s="69" t="s">
        <v>83</v>
      </c>
      <c r="C8" s="71" t="s">
        <v>435</v>
      </c>
      <c r="D8" s="85">
        <v>1</v>
      </c>
      <c r="E8" s="72" t="s">
        <v>71</v>
      </c>
      <c r="F8" s="69" t="s">
        <v>71</v>
      </c>
      <c r="G8" s="70" t="s">
        <v>4</v>
      </c>
      <c r="H8" s="70" t="s">
        <v>93</v>
      </c>
      <c r="I8" s="70" t="s">
        <v>126</v>
      </c>
      <c r="J8" s="5">
        <v>2025</v>
      </c>
      <c r="K8" s="67">
        <v>816</v>
      </c>
      <c r="L8" s="68">
        <v>3</v>
      </c>
      <c r="M8" s="66"/>
      <c r="N8" s="65">
        <f t="shared" si="0"/>
        <v>272</v>
      </c>
      <c r="O8" s="65">
        <f t="shared" si="0"/>
        <v>272</v>
      </c>
      <c r="P8" s="65">
        <f t="shared" si="0"/>
        <v>272</v>
      </c>
      <c r="Q8" s="66"/>
      <c r="R8" s="66"/>
      <c r="S8" s="66"/>
      <c r="T8" s="66"/>
      <c r="U8" s="66"/>
      <c r="V8" s="66"/>
      <c r="W8" s="66"/>
      <c r="X8" s="65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</row>
    <row r="9" spans="1:48" ht="16" x14ac:dyDescent="0.35">
      <c r="A9" s="107" t="s">
        <v>70</v>
      </c>
      <c r="B9" s="69" t="s">
        <v>83</v>
      </c>
      <c r="C9" s="71" t="s">
        <v>435</v>
      </c>
      <c r="D9" s="85">
        <v>1</v>
      </c>
      <c r="E9" s="72" t="s">
        <v>72</v>
      </c>
      <c r="F9" s="70" t="s">
        <v>78</v>
      </c>
      <c r="G9" s="70" t="s">
        <v>4</v>
      </c>
      <c r="H9" s="70" t="s">
        <v>93</v>
      </c>
      <c r="I9" s="70" t="s">
        <v>126</v>
      </c>
      <c r="J9" s="5">
        <v>2025</v>
      </c>
      <c r="K9" s="67">
        <v>100</v>
      </c>
      <c r="L9" s="68">
        <v>1</v>
      </c>
      <c r="M9" s="66"/>
      <c r="N9" s="65">
        <f>($K9*$D9)/$L9</f>
        <v>100</v>
      </c>
      <c r="O9" s="66"/>
      <c r="P9" s="66"/>
      <c r="Q9" s="66"/>
      <c r="R9" s="66"/>
      <c r="S9" s="66"/>
      <c r="T9" s="66"/>
      <c r="U9" s="66"/>
      <c r="V9" s="66"/>
      <c r="W9" s="66"/>
      <c r="X9" s="65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</row>
    <row r="10" spans="1:48" ht="16" x14ac:dyDescent="0.35">
      <c r="A10" s="107" t="s">
        <v>70</v>
      </c>
      <c r="B10" s="69" t="s">
        <v>83</v>
      </c>
      <c r="C10" s="71" t="s">
        <v>435</v>
      </c>
      <c r="D10" s="85">
        <v>1</v>
      </c>
      <c r="E10" s="72" t="s">
        <v>72</v>
      </c>
      <c r="F10" s="70" t="s">
        <v>78</v>
      </c>
      <c r="G10" s="70" t="s">
        <v>4</v>
      </c>
      <c r="H10" s="70" t="s">
        <v>93</v>
      </c>
      <c r="I10" s="70" t="s">
        <v>126</v>
      </c>
      <c r="J10" s="5">
        <v>2025</v>
      </c>
      <c r="K10" s="67">
        <v>100</v>
      </c>
      <c r="L10" s="68">
        <v>1</v>
      </c>
      <c r="M10" s="66"/>
      <c r="N10" s="65">
        <f>($K10*$D10)/$L10</f>
        <v>100</v>
      </c>
      <c r="O10" s="66"/>
      <c r="P10" s="66"/>
      <c r="Q10" s="66"/>
      <c r="R10" s="66"/>
      <c r="S10" s="66"/>
      <c r="T10" s="66"/>
      <c r="U10" s="66"/>
      <c r="V10" s="66"/>
      <c r="W10" s="66"/>
      <c r="X10" s="65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</row>
    <row r="11" spans="1:48" ht="16" x14ac:dyDescent="0.35">
      <c r="A11" s="107" t="s">
        <v>70</v>
      </c>
      <c r="B11" s="69" t="s">
        <v>83</v>
      </c>
      <c r="C11" s="71" t="s">
        <v>402</v>
      </c>
      <c r="D11" s="85">
        <v>1</v>
      </c>
      <c r="E11" s="72" t="s">
        <v>79</v>
      </c>
      <c r="F11" s="70" t="s">
        <v>78</v>
      </c>
      <c r="G11" s="70" t="s">
        <v>4</v>
      </c>
      <c r="H11" s="70" t="s">
        <v>87</v>
      </c>
      <c r="I11" s="70" t="s">
        <v>134</v>
      </c>
      <c r="J11" s="5">
        <v>2025</v>
      </c>
      <c r="K11" s="67">
        <v>820</v>
      </c>
      <c r="L11" s="68">
        <v>5</v>
      </c>
      <c r="M11" s="66"/>
      <c r="N11" s="66"/>
      <c r="O11" s="66"/>
      <c r="P11" s="66"/>
      <c r="Q11" s="66"/>
      <c r="R11" s="65">
        <v>172</v>
      </c>
      <c r="S11" s="65">
        <v>100</v>
      </c>
      <c r="T11" s="65">
        <v>100</v>
      </c>
      <c r="U11" s="66">
        <v>144</v>
      </c>
      <c r="V11" s="66">
        <v>184</v>
      </c>
      <c r="W11" s="66">
        <v>150</v>
      </c>
      <c r="X11" s="65">
        <v>150</v>
      </c>
      <c r="Y11" s="66">
        <v>70</v>
      </c>
      <c r="Z11" s="66">
        <v>30</v>
      </c>
      <c r="AA11" s="66">
        <v>70</v>
      </c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</row>
    <row r="12" spans="1:48" ht="16" x14ac:dyDescent="0.35">
      <c r="A12" s="107" t="s">
        <v>70</v>
      </c>
      <c r="B12" s="69" t="s">
        <v>83</v>
      </c>
      <c r="C12" s="71" t="s">
        <v>403</v>
      </c>
      <c r="D12" s="85">
        <v>1</v>
      </c>
      <c r="E12" s="72" t="s">
        <v>79</v>
      </c>
      <c r="F12" s="70" t="s">
        <v>78</v>
      </c>
      <c r="G12" s="70" t="s">
        <v>4</v>
      </c>
      <c r="H12" s="70" t="s">
        <v>87</v>
      </c>
      <c r="I12" s="70" t="s">
        <v>134</v>
      </c>
      <c r="J12" s="5">
        <v>2025</v>
      </c>
      <c r="K12" s="67">
        <v>700</v>
      </c>
      <c r="L12" s="68">
        <v>5</v>
      </c>
      <c r="M12" s="66"/>
      <c r="N12" s="66"/>
      <c r="O12" s="66"/>
      <c r="P12" s="66"/>
      <c r="Q12" s="66"/>
      <c r="R12" s="65">
        <v>172</v>
      </c>
      <c r="S12" s="65">
        <v>100</v>
      </c>
      <c r="T12" s="65">
        <v>100</v>
      </c>
      <c r="U12" s="66">
        <v>144</v>
      </c>
      <c r="V12" s="66">
        <v>184</v>
      </c>
      <c r="W12" s="66">
        <v>150</v>
      </c>
      <c r="X12" s="65">
        <v>150</v>
      </c>
      <c r="Y12" s="66">
        <v>50</v>
      </c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</row>
    <row r="13" spans="1:48" ht="16" x14ac:dyDescent="0.35">
      <c r="A13" s="107" t="s">
        <v>70</v>
      </c>
      <c r="B13" s="69" t="s">
        <v>83</v>
      </c>
      <c r="C13" s="71" t="s">
        <v>195</v>
      </c>
      <c r="D13" s="85">
        <v>1</v>
      </c>
      <c r="E13" s="72" t="s">
        <v>86</v>
      </c>
      <c r="F13" s="70" t="s">
        <v>78</v>
      </c>
      <c r="G13" s="70" t="s">
        <v>8</v>
      </c>
      <c r="H13" s="70" t="s">
        <v>73</v>
      </c>
      <c r="I13" s="70" t="s">
        <v>153</v>
      </c>
      <c r="J13" s="5">
        <v>2026</v>
      </c>
      <c r="K13" s="67">
        <v>132</v>
      </c>
      <c r="L13" s="68">
        <v>1</v>
      </c>
      <c r="M13" s="66"/>
      <c r="N13" s="66"/>
      <c r="O13" s="66"/>
      <c r="P13" s="66"/>
      <c r="Q13" s="66"/>
      <c r="R13" s="66"/>
      <c r="S13" s="65"/>
      <c r="T13" s="65"/>
      <c r="U13" s="66"/>
      <c r="V13" s="65"/>
      <c r="W13" s="66"/>
      <c r="X13" s="65"/>
      <c r="Y13" s="66"/>
      <c r="Z13" s="65"/>
      <c r="AA13" s="66"/>
      <c r="AB13" s="65">
        <f>($K13*$D13)/$L13</f>
        <v>132</v>
      </c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</row>
    <row r="14" spans="1:48" ht="16" x14ac:dyDescent="0.35">
      <c r="A14" s="107" t="s">
        <v>70</v>
      </c>
      <c r="B14" s="69" t="s">
        <v>83</v>
      </c>
      <c r="C14" s="71" t="s">
        <v>196</v>
      </c>
      <c r="D14" s="85">
        <v>1</v>
      </c>
      <c r="E14" s="72" t="s">
        <v>86</v>
      </c>
      <c r="F14" s="70" t="s">
        <v>78</v>
      </c>
      <c r="G14" s="70" t="s">
        <v>8</v>
      </c>
      <c r="H14" s="70" t="s">
        <v>73</v>
      </c>
      <c r="I14" s="70" t="s">
        <v>153</v>
      </c>
      <c r="J14" s="5">
        <v>2026</v>
      </c>
      <c r="K14" s="67">
        <v>132</v>
      </c>
      <c r="L14" s="68">
        <v>1</v>
      </c>
      <c r="M14" s="66"/>
      <c r="N14" s="66"/>
      <c r="O14" s="66"/>
      <c r="P14" s="66"/>
      <c r="Q14" s="66"/>
      <c r="R14" s="66"/>
      <c r="S14" s="65"/>
      <c r="T14" s="65"/>
      <c r="U14" s="66"/>
      <c r="V14" s="65"/>
      <c r="W14" s="66"/>
      <c r="X14" s="65"/>
      <c r="Y14" s="66"/>
      <c r="Z14" s="65"/>
      <c r="AA14" s="66"/>
      <c r="AB14" s="65">
        <f>($K14*$D14)/$L14</f>
        <v>132</v>
      </c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</row>
    <row r="15" spans="1:48" ht="16" x14ac:dyDescent="0.35">
      <c r="A15" s="107" t="s">
        <v>70</v>
      </c>
      <c r="B15" s="69" t="s">
        <v>76</v>
      </c>
      <c r="C15" s="71" t="s">
        <v>439</v>
      </c>
      <c r="D15" s="85">
        <v>1</v>
      </c>
      <c r="E15" s="72" t="s">
        <v>86</v>
      </c>
      <c r="F15" s="70" t="s">
        <v>78</v>
      </c>
      <c r="G15" s="70" t="s">
        <v>8</v>
      </c>
      <c r="H15" s="70" t="s">
        <v>80</v>
      </c>
      <c r="I15" s="70" t="s">
        <v>151</v>
      </c>
      <c r="J15" s="5">
        <v>2026</v>
      </c>
      <c r="K15" s="67">
        <v>176</v>
      </c>
      <c r="L15" s="68">
        <v>1</v>
      </c>
      <c r="M15" s="66"/>
      <c r="N15" s="66"/>
      <c r="O15" s="66"/>
      <c r="P15" s="66"/>
      <c r="Q15" s="66"/>
      <c r="R15" s="66"/>
      <c r="S15" s="65"/>
      <c r="T15" s="65"/>
      <c r="U15" s="66"/>
      <c r="V15" s="65"/>
      <c r="W15" s="66"/>
      <c r="X15" s="65"/>
      <c r="Y15" s="65"/>
      <c r="Z15" s="65"/>
      <c r="AA15" s="65">
        <f>($K15*$D15)/$L15</f>
        <v>176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</row>
    <row r="16" spans="1:48" ht="16" x14ac:dyDescent="0.35">
      <c r="A16" s="107" t="s">
        <v>70</v>
      </c>
      <c r="B16" s="69" t="s">
        <v>76</v>
      </c>
      <c r="C16" s="71" t="s">
        <v>440</v>
      </c>
      <c r="D16" s="85">
        <v>1</v>
      </c>
      <c r="E16" s="72" t="s">
        <v>86</v>
      </c>
      <c r="F16" s="70" t="s">
        <v>78</v>
      </c>
      <c r="G16" s="70" t="s">
        <v>4</v>
      </c>
      <c r="H16" s="70" t="s">
        <v>93</v>
      </c>
      <c r="I16" s="70" t="s">
        <v>149</v>
      </c>
      <c r="J16" s="5">
        <v>2025</v>
      </c>
      <c r="K16" s="67">
        <v>176</v>
      </c>
      <c r="L16" s="68">
        <v>2</v>
      </c>
      <c r="M16" s="66"/>
      <c r="N16" s="66"/>
      <c r="O16" s="66"/>
      <c r="P16" s="66"/>
      <c r="Q16" s="66"/>
      <c r="R16" s="66"/>
      <c r="S16" s="65"/>
      <c r="T16" s="65"/>
      <c r="U16" s="66"/>
      <c r="V16" s="65"/>
      <c r="W16" s="66"/>
      <c r="X16" s="65">
        <f>($K16*$D16)/$L16</f>
        <v>88</v>
      </c>
      <c r="Y16" s="65">
        <f>($K16*$D16)/$L16</f>
        <v>88</v>
      </c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</row>
    <row r="17" spans="1:48" ht="16" x14ac:dyDescent="0.35">
      <c r="A17" s="107" t="s">
        <v>70</v>
      </c>
      <c r="B17" s="69" t="s">
        <v>83</v>
      </c>
      <c r="C17" s="71" t="s">
        <v>197</v>
      </c>
      <c r="D17" s="85">
        <v>1</v>
      </c>
      <c r="E17" s="72" t="s">
        <v>86</v>
      </c>
      <c r="F17" s="70" t="s">
        <v>78</v>
      </c>
      <c r="G17" s="70" t="s">
        <v>8</v>
      </c>
      <c r="H17" s="70" t="s">
        <v>73</v>
      </c>
      <c r="I17" s="70" t="s">
        <v>153</v>
      </c>
      <c r="J17" s="5">
        <v>2026</v>
      </c>
      <c r="K17" s="67">
        <v>132</v>
      </c>
      <c r="L17" s="68">
        <v>1</v>
      </c>
      <c r="M17" s="66"/>
      <c r="N17" s="66"/>
      <c r="O17" s="66"/>
      <c r="P17" s="66"/>
      <c r="Q17" s="66"/>
      <c r="R17" s="66"/>
      <c r="S17" s="65"/>
      <c r="T17" s="65"/>
      <c r="U17" s="66"/>
      <c r="V17" s="65"/>
      <c r="W17" s="65"/>
      <c r="X17" s="65"/>
      <c r="Y17" s="66"/>
      <c r="Z17" s="65"/>
      <c r="AA17" s="66"/>
      <c r="AB17" s="65">
        <f>($K17*$D17)/$L17</f>
        <v>132</v>
      </c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</row>
    <row r="18" spans="1:48" ht="16" x14ac:dyDescent="0.35">
      <c r="A18" s="107" t="s">
        <v>70</v>
      </c>
      <c r="B18" s="69" t="s">
        <v>83</v>
      </c>
      <c r="C18" s="71" t="s">
        <v>198</v>
      </c>
      <c r="D18" s="85">
        <v>1</v>
      </c>
      <c r="E18" s="72" t="s">
        <v>86</v>
      </c>
      <c r="F18" s="70" t="s">
        <v>78</v>
      </c>
      <c r="G18" s="70" t="s">
        <v>8</v>
      </c>
      <c r="H18" s="70" t="s">
        <v>73</v>
      </c>
      <c r="I18" s="70" t="s">
        <v>153</v>
      </c>
      <c r="J18" s="5">
        <v>2026</v>
      </c>
      <c r="K18" s="67">
        <v>132</v>
      </c>
      <c r="L18" s="68">
        <v>1</v>
      </c>
      <c r="M18" s="66"/>
      <c r="N18" s="66"/>
      <c r="O18" s="66"/>
      <c r="P18" s="66"/>
      <c r="Q18" s="66"/>
      <c r="R18" s="66"/>
      <c r="S18" s="65"/>
      <c r="T18" s="65"/>
      <c r="U18" s="66"/>
      <c r="V18" s="65"/>
      <c r="W18" s="65"/>
      <c r="X18" s="65"/>
      <c r="Y18" s="65"/>
      <c r="Z18" s="65"/>
      <c r="AA18" s="66"/>
      <c r="AB18" s="65">
        <f>($K18*$D18)/$L18</f>
        <v>132</v>
      </c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</row>
    <row r="19" spans="1:48" ht="16" x14ac:dyDescent="0.35">
      <c r="A19" s="107" t="s">
        <v>70</v>
      </c>
      <c r="B19" s="69" t="s">
        <v>83</v>
      </c>
      <c r="C19" s="71" t="s">
        <v>199</v>
      </c>
      <c r="D19" s="85">
        <v>1</v>
      </c>
      <c r="E19" s="72" t="s">
        <v>86</v>
      </c>
      <c r="F19" s="70" t="s">
        <v>78</v>
      </c>
      <c r="G19" s="70" t="s">
        <v>8</v>
      </c>
      <c r="H19" s="70" t="s">
        <v>73</v>
      </c>
      <c r="I19" s="70" t="s">
        <v>155</v>
      </c>
      <c r="J19" s="5">
        <v>2026</v>
      </c>
      <c r="K19" s="67">
        <v>132</v>
      </c>
      <c r="L19" s="68">
        <v>1</v>
      </c>
      <c r="M19" s="66"/>
      <c r="N19" s="66"/>
      <c r="O19" s="66"/>
      <c r="P19" s="66"/>
      <c r="Q19" s="66"/>
      <c r="R19" s="66"/>
      <c r="S19" s="66"/>
      <c r="T19" s="66"/>
      <c r="U19" s="65"/>
      <c r="V19" s="66"/>
      <c r="W19" s="65"/>
      <c r="X19" s="65"/>
      <c r="Y19" s="65"/>
      <c r="Z19" s="65"/>
      <c r="AA19" s="66"/>
      <c r="AB19" s="65"/>
      <c r="AC19" s="65">
        <f>($K19*$D19)/$L19</f>
        <v>132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</row>
    <row r="20" spans="1:48" ht="16" x14ac:dyDescent="0.35">
      <c r="A20" s="107" t="s">
        <v>70</v>
      </c>
      <c r="B20" s="69" t="s">
        <v>83</v>
      </c>
      <c r="C20" s="71" t="s">
        <v>200</v>
      </c>
      <c r="D20" s="85">
        <v>1</v>
      </c>
      <c r="E20" s="72" t="s">
        <v>79</v>
      </c>
      <c r="F20" s="70" t="s">
        <v>78</v>
      </c>
      <c r="G20" s="70" t="s">
        <v>4</v>
      </c>
      <c r="H20" s="70" t="s">
        <v>93</v>
      </c>
      <c r="I20" s="70" t="s">
        <v>149</v>
      </c>
      <c r="J20" s="5">
        <v>2025</v>
      </c>
      <c r="K20" s="67">
        <v>1068</v>
      </c>
      <c r="L20" s="68">
        <v>8</v>
      </c>
      <c r="M20" s="66"/>
      <c r="N20" s="66"/>
      <c r="O20" s="66">
        <v>117</v>
      </c>
      <c r="P20" s="66">
        <v>117</v>
      </c>
      <c r="Q20" s="66">
        <v>117</v>
      </c>
      <c r="R20" s="66">
        <v>100</v>
      </c>
      <c r="S20" s="66">
        <v>100</v>
      </c>
      <c r="T20" s="66">
        <v>100</v>
      </c>
      <c r="U20" s="66">
        <v>117</v>
      </c>
      <c r="V20" s="66">
        <v>150</v>
      </c>
      <c r="W20" s="66">
        <v>150</v>
      </c>
      <c r="X20" s="65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</row>
    <row r="21" spans="1:48" ht="16" x14ac:dyDescent="0.35">
      <c r="A21" s="107" t="s">
        <v>70</v>
      </c>
      <c r="B21" s="69" t="s">
        <v>83</v>
      </c>
      <c r="C21" s="71" t="s">
        <v>201</v>
      </c>
      <c r="D21" s="85">
        <v>1</v>
      </c>
      <c r="E21" s="72" t="s">
        <v>79</v>
      </c>
      <c r="F21" s="70" t="s">
        <v>78</v>
      </c>
      <c r="G21" s="70" t="s">
        <v>4</v>
      </c>
      <c r="H21" s="70" t="s">
        <v>93</v>
      </c>
      <c r="I21" s="70" t="s">
        <v>149</v>
      </c>
      <c r="J21" s="5">
        <v>2025</v>
      </c>
      <c r="K21" s="67">
        <v>1068</v>
      </c>
      <c r="L21" s="68">
        <v>8</v>
      </c>
      <c r="M21" s="66"/>
      <c r="N21" s="66"/>
      <c r="O21" s="66">
        <v>117</v>
      </c>
      <c r="P21" s="66">
        <v>117</v>
      </c>
      <c r="Q21" s="66">
        <v>117</v>
      </c>
      <c r="R21" s="66">
        <v>100</v>
      </c>
      <c r="S21" s="66">
        <v>100</v>
      </c>
      <c r="T21" s="66">
        <v>100</v>
      </c>
      <c r="U21" s="66">
        <v>117</v>
      </c>
      <c r="V21" s="66">
        <v>150</v>
      </c>
      <c r="W21" s="66">
        <v>150</v>
      </c>
      <c r="X21" s="65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</row>
    <row r="22" spans="1:48" ht="16" x14ac:dyDescent="0.35">
      <c r="A22" s="107" t="s">
        <v>70</v>
      </c>
      <c r="B22" s="69" t="s">
        <v>96</v>
      </c>
      <c r="C22" s="71" t="s">
        <v>434</v>
      </c>
      <c r="D22" s="85">
        <v>1</v>
      </c>
      <c r="E22" s="72" t="s">
        <v>79</v>
      </c>
      <c r="F22" s="70" t="s">
        <v>78</v>
      </c>
      <c r="G22" s="70" t="s">
        <v>4</v>
      </c>
      <c r="H22" s="70" t="s">
        <v>93</v>
      </c>
      <c r="I22" s="70" t="s">
        <v>149</v>
      </c>
      <c r="J22" s="5">
        <v>2025</v>
      </c>
      <c r="K22" s="67">
        <v>396</v>
      </c>
      <c r="L22" s="68">
        <v>4</v>
      </c>
      <c r="M22" s="65">
        <f>($K22*$D22)/$L22</f>
        <v>99</v>
      </c>
      <c r="N22" s="65">
        <f>($K22*$D22)/$L22</f>
        <v>99</v>
      </c>
      <c r="O22" s="65">
        <f>($K22*$D22)/$L22</f>
        <v>99</v>
      </c>
      <c r="P22" s="65">
        <f>($K22*$D22)/$L22</f>
        <v>99</v>
      </c>
      <c r="Q22" s="66"/>
      <c r="R22" s="66"/>
      <c r="S22" s="66"/>
      <c r="T22" s="66"/>
      <c r="U22" s="66"/>
      <c r="V22" s="66"/>
      <c r="W22" s="66"/>
      <c r="X22" s="65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</row>
    <row r="23" spans="1:48" ht="16" x14ac:dyDescent="0.35">
      <c r="A23" s="107" t="s">
        <v>70</v>
      </c>
      <c r="B23" s="69" t="s">
        <v>105</v>
      </c>
      <c r="C23" s="71" t="s">
        <v>545</v>
      </c>
      <c r="D23" s="85">
        <v>1</v>
      </c>
      <c r="E23" s="72" t="s">
        <v>106</v>
      </c>
      <c r="F23" s="70" t="s">
        <v>78</v>
      </c>
      <c r="G23" s="70" t="s">
        <v>4</v>
      </c>
      <c r="H23" s="70" t="s">
        <v>87</v>
      </c>
      <c r="I23" s="70" t="s">
        <v>149</v>
      </c>
      <c r="J23" s="5">
        <v>2026</v>
      </c>
      <c r="K23" s="67">
        <v>125</v>
      </c>
      <c r="L23" s="68">
        <v>1</v>
      </c>
      <c r="M23" s="65"/>
      <c r="N23" s="65"/>
      <c r="O23" s="65"/>
      <c r="P23" s="65"/>
      <c r="Q23" s="66"/>
      <c r="R23" s="65"/>
      <c r="S23" s="66"/>
      <c r="T23" s="66"/>
      <c r="U23" s="66"/>
      <c r="V23" s="66"/>
      <c r="W23" s="66"/>
      <c r="X23" s="65"/>
      <c r="Y23" s="66"/>
      <c r="Z23" s="65"/>
      <c r="AA23" s="65">
        <f>($K23*$D23)/$L23</f>
        <v>125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</row>
    <row r="24" spans="1:48" ht="16" x14ac:dyDescent="0.35">
      <c r="A24" s="107" t="s">
        <v>70</v>
      </c>
      <c r="B24" s="69" t="s">
        <v>105</v>
      </c>
      <c r="C24" s="71" t="s">
        <v>413</v>
      </c>
      <c r="D24" s="85">
        <v>1</v>
      </c>
      <c r="E24" s="72" t="s">
        <v>72</v>
      </c>
      <c r="F24" s="70" t="s">
        <v>78</v>
      </c>
      <c r="G24" s="70" t="s">
        <v>4</v>
      </c>
      <c r="H24" s="70" t="s">
        <v>93</v>
      </c>
      <c r="I24" s="70" t="s">
        <v>149</v>
      </c>
      <c r="J24" s="5">
        <v>2025</v>
      </c>
      <c r="K24" s="67">
        <v>564.5</v>
      </c>
      <c r="L24" s="68">
        <v>1</v>
      </c>
      <c r="M24" s="66"/>
      <c r="N24" s="66"/>
      <c r="O24" s="66"/>
      <c r="P24" s="66"/>
      <c r="Q24" s="66"/>
      <c r="R24" s="65">
        <f>($K24*$D24)/$L24</f>
        <v>564.5</v>
      </c>
      <c r="S24" s="66"/>
      <c r="T24" s="66"/>
      <c r="U24" s="66"/>
      <c r="V24" s="66"/>
      <c r="W24" s="66"/>
      <c r="X24" s="65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</row>
    <row r="25" spans="1:48" ht="16" x14ac:dyDescent="0.35">
      <c r="A25" s="107" t="s">
        <v>70</v>
      </c>
      <c r="B25" s="69" t="s">
        <v>105</v>
      </c>
      <c r="C25" s="71" t="s">
        <v>202</v>
      </c>
      <c r="D25" s="85">
        <v>1</v>
      </c>
      <c r="E25" s="72" t="s">
        <v>72</v>
      </c>
      <c r="F25" s="70" t="s">
        <v>78</v>
      </c>
      <c r="G25" s="70" t="s">
        <v>4</v>
      </c>
      <c r="H25" s="70" t="s">
        <v>93</v>
      </c>
      <c r="I25" s="70" t="s">
        <v>149</v>
      </c>
      <c r="J25" s="5">
        <v>2025</v>
      </c>
      <c r="K25" s="67">
        <v>124.5</v>
      </c>
      <c r="L25" s="68">
        <v>1</v>
      </c>
      <c r="M25" s="66"/>
      <c r="N25" s="66"/>
      <c r="O25" s="66"/>
      <c r="P25" s="65">
        <f>($K25*$D25)/$L25</f>
        <v>124.5</v>
      </c>
      <c r="Q25" s="66"/>
      <c r="R25" s="66"/>
      <c r="S25" s="66"/>
      <c r="T25" s="66"/>
      <c r="U25" s="66"/>
      <c r="V25" s="66"/>
      <c r="W25" s="66"/>
      <c r="X25" s="65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</row>
    <row r="26" spans="1:48" ht="14.5" customHeight="1" x14ac:dyDescent="0.35">
      <c r="A26" s="107" t="s">
        <v>70</v>
      </c>
      <c r="B26" s="69" t="s">
        <v>115</v>
      </c>
      <c r="C26" s="71" t="s">
        <v>444</v>
      </c>
      <c r="D26" s="85">
        <v>1</v>
      </c>
      <c r="E26" s="72" t="s">
        <v>72</v>
      </c>
      <c r="F26" s="70" t="s">
        <v>78</v>
      </c>
      <c r="G26" s="70" t="s">
        <v>4</v>
      </c>
      <c r="H26" s="70" t="s">
        <v>93</v>
      </c>
      <c r="I26" s="70" t="s">
        <v>149</v>
      </c>
      <c r="J26" s="5">
        <v>2025</v>
      </c>
      <c r="K26" s="67">
        <v>100</v>
      </c>
      <c r="L26" s="68">
        <v>1</v>
      </c>
      <c r="M26" s="66"/>
      <c r="N26" s="65">
        <f>($K26*$D26)/$L26</f>
        <v>100</v>
      </c>
      <c r="O26" s="66"/>
      <c r="P26" s="66"/>
      <c r="Q26" s="66"/>
      <c r="R26" s="66"/>
      <c r="S26" s="66"/>
      <c r="T26" s="66"/>
      <c r="U26" s="66"/>
      <c r="V26" s="66"/>
      <c r="W26" s="66"/>
      <c r="X26" s="65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</row>
    <row r="27" spans="1:48" ht="14.5" customHeight="1" x14ac:dyDescent="0.35">
      <c r="A27" s="107" t="s">
        <v>70</v>
      </c>
      <c r="B27" s="69" t="s">
        <v>115</v>
      </c>
      <c r="C27" s="71" t="s">
        <v>445</v>
      </c>
      <c r="D27" s="85">
        <v>1</v>
      </c>
      <c r="E27" s="72" t="s">
        <v>72</v>
      </c>
      <c r="F27" s="70" t="s">
        <v>78</v>
      </c>
      <c r="G27" s="70" t="s">
        <v>4</v>
      </c>
      <c r="H27" s="70" t="s">
        <v>93</v>
      </c>
      <c r="I27" s="70" t="s">
        <v>149</v>
      </c>
      <c r="J27" s="5">
        <v>2025</v>
      </c>
      <c r="K27" s="67">
        <v>100</v>
      </c>
      <c r="L27" s="68">
        <v>1</v>
      </c>
      <c r="M27" s="66"/>
      <c r="N27" s="65">
        <f>($K27*$D27)/$L27</f>
        <v>100</v>
      </c>
      <c r="O27" s="66"/>
      <c r="P27" s="66"/>
      <c r="Q27" s="66"/>
      <c r="R27" s="66"/>
      <c r="S27" s="66"/>
      <c r="T27" s="66"/>
      <c r="U27" s="66"/>
      <c r="V27" s="66"/>
      <c r="W27" s="66"/>
      <c r="X27" s="65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</row>
    <row r="28" spans="1:48" ht="14.5" customHeight="1" x14ac:dyDescent="0.35">
      <c r="A28" s="107" t="s">
        <v>70</v>
      </c>
      <c r="B28" s="69" t="s">
        <v>115</v>
      </c>
      <c r="C28" s="71" t="s">
        <v>446</v>
      </c>
      <c r="D28" s="85">
        <v>1</v>
      </c>
      <c r="E28" s="72" t="s">
        <v>72</v>
      </c>
      <c r="F28" s="70" t="s">
        <v>78</v>
      </c>
      <c r="G28" s="70" t="s">
        <v>4</v>
      </c>
      <c r="H28" s="70" t="s">
        <v>93</v>
      </c>
      <c r="I28" s="70" t="s">
        <v>149</v>
      </c>
      <c r="J28" s="5">
        <v>2025</v>
      </c>
      <c r="K28" s="67">
        <v>100</v>
      </c>
      <c r="L28" s="68">
        <v>1</v>
      </c>
      <c r="M28" s="66"/>
      <c r="N28" s="65">
        <f>($K28*$D28)/$L28</f>
        <v>100</v>
      </c>
      <c r="O28" s="66"/>
      <c r="P28" s="66"/>
      <c r="Q28" s="66"/>
      <c r="R28" s="66"/>
      <c r="S28" s="66"/>
      <c r="T28" s="66"/>
      <c r="U28" s="66"/>
      <c r="V28" s="66"/>
      <c r="W28" s="66"/>
      <c r="X28" s="65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</row>
    <row r="29" spans="1:48" ht="14.5" customHeight="1" x14ac:dyDescent="0.35">
      <c r="A29" s="107" t="s">
        <v>70</v>
      </c>
      <c r="B29" s="69" t="s">
        <v>115</v>
      </c>
      <c r="C29" s="71" t="s">
        <v>448</v>
      </c>
      <c r="D29" s="85">
        <v>1</v>
      </c>
      <c r="E29" s="72" t="s">
        <v>71</v>
      </c>
      <c r="F29" s="70" t="s">
        <v>71</v>
      </c>
      <c r="G29" s="70" t="s">
        <v>4</v>
      </c>
      <c r="H29" s="70" t="s">
        <v>93</v>
      </c>
      <c r="I29" s="70" t="s">
        <v>149</v>
      </c>
      <c r="J29" s="5">
        <v>2025</v>
      </c>
      <c r="K29" s="67">
        <v>386</v>
      </c>
      <c r="L29" s="68">
        <v>2</v>
      </c>
      <c r="M29" s="66"/>
      <c r="N29" s="66"/>
      <c r="O29" s="65">
        <f>($K29*$D29)/$L29</f>
        <v>193</v>
      </c>
      <c r="P29" s="65">
        <f>($K29*$D29)/$L29</f>
        <v>193</v>
      </c>
      <c r="Q29" s="66"/>
      <c r="R29" s="66"/>
      <c r="S29" s="66"/>
      <c r="T29" s="66"/>
      <c r="U29" s="66"/>
      <c r="V29" s="66"/>
      <c r="W29" s="66"/>
      <c r="X29" s="65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</row>
    <row r="30" spans="1:48" ht="14.5" customHeight="1" x14ac:dyDescent="0.35">
      <c r="A30" s="107" t="s">
        <v>70</v>
      </c>
      <c r="B30" s="69" t="s">
        <v>115</v>
      </c>
      <c r="C30" s="71" t="s">
        <v>447</v>
      </c>
      <c r="D30" s="85">
        <v>1</v>
      </c>
      <c r="E30" s="72" t="s">
        <v>79</v>
      </c>
      <c r="F30" s="70" t="s">
        <v>78</v>
      </c>
      <c r="G30" s="70" t="s">
        <v>4</v>
      </c>
      <c r="H30" s="70" t="s">
        <v>93</v>
      </c>
      <c r="I30" s="70" t="s">
        <v>149</v>
      </c>
      <c r="J30" s="5">
        <v>2025</v>
      </c>
      <c r="K30" s="67">
        <v>400</v>
      </c>
      <c r="L30" s="68">
        <v>4</v>
      </c>
      <c r="M30" s="66"/>
      <c r="N30" s="66"/>
      <c r="O30" s="66"/>
      <c r="P30" s="66"/>
      <c r="Q30" s="66"/>
      <c r="R30" s="65">
        <f>($K30*$D30)/$L30</f>
        <v>100</v>
      </c>
      <c r="S30" s="65">
        <v>200</v>
      </c>
      <c r="T30" s="65">
        <v>67</v>
      </c>
      <c r="U30" s="66">
        <v>33</v>
      </c>
      <c r="V30" s="66"/>
      <c r="W30" s="66"/>
      <c r="X30" s="65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</row>
    <row r="31" spans="1:48" ht="14.5" customHeight="1" x14ac:dyDescent="0.35">
      <c r="A31" s="107" t="s">
        <v>70</v>
      </c>
      <c r="B31" s="69" t="s">
        <v>115</v>
      </c>
      <c r="C31" s="71" t="s">
        <v>449</v>
      </c>
      <c r="D31" s="85">
        <v>1</v>
      </c>
      <c r="E31" s="72" t="s">
        <v>79</v>
      </c>
      <c r="F31" s="70" t="s">
        <v>78</v>
      </c>
      <c r="G31" s="70" t="s">
        <v>4</v>
      </c>
      <c r="H31" s="70" t="s">
        <v>93</v>
      </c>
      <c r="I31" s="70" t="s">
        <v>149</v>
      </c>
      <c r="J31" s="5">
        <v>2025</v>
      </c>
      <c r="K31" s="67">
        <v>440</v>
      </c>
      <c r="L31" s="68">
        <v>6</v>
      </c>
      <c r="M31" s="66"/>
      <c r="N31" s="66"/>
      <c r="O31" s="66"/>
      <c r="P31" s="66"/>
      <c r="Q31" s="65">
        <v>88</v>
      </c>
      <c r="R31" s="65">
        <v>72</v>
      </c>
      <c r="S31" s="65">
        <v>150</v>
      </c>
      <c r="T31" s="65">
        <v>50</v>
      </c>
      <c r="U31" s="66">
        <v>40</v>
      </c>
      <c r="V31" s="66">
        <v>40</v>
      </c>
      <c r="W31" s="66"/>
      <c r="X31" s="65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</row>
    <row r="32" spans="1:48" ht="14.5" customHeight="1" x14ac:dyDescent="0.35">
      <c r="A32" s="107" t="s">
        <v>70</v>
      </c>
      <c r="B32" s="69" t="s">
        <v>115</v>
      </c>
      <c r="C32" s="71" t="s">
        <v>450</v>
      </c>
      <c r="D32" s="85">
        <v>1</v>
      </c>
      <c r="E32" s="72" t="s">
        <v>79</v>
      </c>
      <c r="F32" s="70" t="s">
        <v>78</v>
      </c>
      <c r="G32" s="70" t="s">
        <v>4</v>
      </c>
      <c r="H32" s="70" t="s">
        <v>93</v>
      </c>
      <c r="I32" s="70" t="s">
        <v>149</v>
      </c>
      <c r="J32" s="5">
        <v>2025</v>
      </c>
      <c r="K32" s="67">
        <v>440</v>
      </c>
      <c r="L32" s="68">
        <v>5</v>
      </c>
      <c r="M32" s="66"/>
      <c r="N32" s="66"/>
      <c r="O32" s="66"/>
      <c r="P32" s="66"/>
      <c r="Q32" s="66"/>
      <c r="R32" s="65">
        <v>100</v>
      </c>
      <c r="S32" s="65">
        <v>200</v>
      </c>
      <c r="T32" s="65">
        <v>67</v>
      </c>
      <c r="U32" s="66">
        <v>33</v>
      </c>
      <c r="V32" s="66">
        <v>40</v>
      </c>
      <c r="W32" s="66"/>
      <c r="X32" s="65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</row>
    <row r="33" spans="1:48" ht="14.5" customHeight="1" x14ac:dyDescent="0.35">
      <c r="A33" s="107" t="s">
        <v>70</v>
      </c>
      <c r="B33" s="69" t="s">
        <v>115</v>
      </c>
      <c r="C33" s="71" t="s">
        <v>451</v>
      </c>
      <c r="D33" s="85">
        <v>1</v>
      </c>
      <c r="E33" s="72" t="s">
        <v>71</v>
      </c>
      <c r="F33" s="70" t="s">
        <v>71</v>
      </c>
      <c r="G33" s="70" t="s">
        <v>4</v>
      </c>
      <c r="H33" s="70" t="s">
        <v>93</v>
      </c>
      <c r="I33" s="70" t="s">
        <v>149</v>
      </c>
      <c r="J33" s="5">
        <v>2025</v>
      </c>
      <c r="K33" s="67">
        <v>386</v>
      </c>
      <c r="L33" s="68">
        <v>3</v>
      </c>
      <c r="M33" s="66"/>
      <c r="N33" s="66"/>
      <c r="O33" s="65">
        <f>($K33*$D33)/$L33</f>
        <v>128.66666666666666</v>
      </c>
      <c r="P33" s="65">
        <f>($K33*$D33)/$L33</f>
        <v>128.66666666666666</v>
      </c>
      <c r="Q33" s="65">
        <f>($K33*$D33)/$L33</f>
        <v>128.66666666666666</v>
      </c>
      <c r="R33" s="66"/>
      <c r="S33" s="66"/>
      <c r="T33" s="66"/>
      <c r="U33" s="66"/>
      <c r="V33" s="66"/>
      <c r="W33" s="66"/>
      <c r="X33" s="65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</row>
    <row r="34" spans="1:48" ht="16" x14ac:dyDescent="0.35">
      <c r="A34" s="107" t="s">
        <v>84</v>
      </c>
      <c r="B34" s="69" t="s">
        <v>129</v>
      </c>
      <c r="C34" s="71" t="s">
        <v>203</v>
      </c>
      <c r="D34" s="83">
        <v>35</v>
      </c>
      <c r="E34" s="72" t="s">
        <v>98</v>
      </c>
      <c r="F34" s="70" t="s">
        <v>85</v>
      </c>
      <c r="G34" s="70" t="s">
        <v>4</v>
      </c>
      <c r="H34" s="70" t="s">
        <v>93</v>
      </c>
      <c r="I34" s="70" t="s">
        <v>149</v>
      </c>
      <c r="J34" s="5">
        <v>2025</v>
      </c>
      <c r="K34" s="67">
        <v>64</v>
      </c>
      <c r="L34" s="68">
        <v>4</v>
      </c>
      <c r="M34" s="66"/>
      <c r="N34" s="66"/>
      <c r="O34" s="66"/>
      <c r="P34" s="66"/>
      <c r="Q34" s="66">
        <v>142</v>
      </c>
      <c r="R34" s="66">
        <v>1443</v>
      </c>
      <c r="S34" s="66">
        <v>448</v>
      </c>
      <c r="T34" s="66">
        <v>200</v>
      </c>
      <c r="U34" s="66"/>
      <c r="V34" s="66"/>
      <c r="W34" s="66"/>
      <c r="X34" s="65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</row>
    <row r="35" spans="1:48" ht="16" x14ac:dyDescent="0.35">
      <c r="A35" s="107" t="s">
        <v>84</v>
      </c>
      <c r="B35" s="69" t="s">
        <v>129</v>
      </c>
      <c r="C35" s="71" t="s">
        <v>204</v>
      </c>
      <c r="D35" s="83">
        <v>6</v>
      </c>
      <c r="E35" s="72" t="s">
        <v>98</v>
      </c>
      <c r="F35" s="70" t="s">
        <v>85</v>
      </c>
      <c r="G35" s="70" t="s">
        <v>4</v>
      </c>
      <c r="H35" s="70" t="s">
        <v>93</v>
      </c>
      <c r="I35" s="70" t="s">
        <v>149</v>
      </c>
      <c r="J35" s="5">
        <v>2025</v>
      </c>
      <c r="K35" s="67">
        <v>45</v>
      </c>
      <c r="L35" s="68">
        <v>1</v>
      </c>
      <c r="M35" s="66"/>
      <c r="N35" s="66"/>
      <c r="O35" s="66"/>
      <c r="P35" s="66"/>
      <c r="Q35" s="66"/>
      <c r="R35" s="66"/>
      <c r="S35" s="66"/>
      <c r="T35" s="66"/>
      <c r="U35" s="66"/>
      <c r="V35" s="66">
        <f>($K35*$D35)/$L35</f>
        <v>270</v>
      </c>
      <c r="W35" s="66"/>
      <c r="X35" s="65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</row>
    <row r="36" spans="1:48" ht="16" x14ac:dyDescent="0.35">
      <c r="A36" s="107" t="s">
        <v>84</v>
      </c>
      <c r="B36" s="69" t="s">
        <v>129</v>
      </c>
      <c r="C36" s="71" t="s">
        <v>205</v>
      </c>
      <c r="D36" s="83">
        <v>25</v>
      </c>
      <c r="E36" s="72" t="s">
        <v>98</v>
      </c>
      <c r="F36" s="70" t="s">
        <v>85</v>
      </c>
      <c r="G36" s="70" t="s">
        <v>4</v>
      </c>
      <c r="H36" s="70" t="s">
        <v>93</v>
      </c>
      <c r="I36" s="70" t="s">
        <v>149</v>
      </c>
      <c r="J36" s="5">
        <v>2025</v>
      </c>
      <c r="K36" s="67">
        <v>150</v>
      </c>
      <c r="L36" s="68">
        <v>1</v>
      </c>
      <c r="M36" s="66"/>
      <c r="N36" s="66"/>
      <c r="O36" s="66"/>
      <c r="P36" s="66"/>
      <c r="Q36" s="66"/>
      <c r="R36" s="66"/>
      <c r="S36" s="66"/>
      <c r="T36" s="66"/>
      <c r="U36" s="66">
        <f>($K36*$D36)/$L36</f>
        <v>3750</v>
      </c>
      <c r="V36" s="66"/>
      <c r="W36" s="66"/>
      <c r="X36" s="65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</row>
    <row r="37" spans="1:48" ht="16.5" customHeight="1" x14ac:dyDescent="0.35">
      <c r="A37" s="107" t="s">
        <v>84</v>
      </c>
      <c r="B37" s="69" t="s">
        <v>129</v>
      </c>
      <c r="C37" s="71" t="s">
        <v>206</v>
      </c>
      <c r="D37" s="83">
        <v>7</v>
      </c>
      <c r="E37" s="72" t="s">
        <v>98</v>
      </c>
      <c r="F37" s="70" t="s">
        <v>85</v>
      </c>
      <c r="G37" s="70" t="s">
        <v>4</v>
      </c>
      <c r="H37" s="70" t="s">
        <v>93</v>
      </c>
      <c r="I37" s="70" t="s">
        <v>149</v>
      </c>
      <c r="J37" s="5">
        <v>2025</v>
      </c>
      <c r="K37" s="67">
        <v>150</v>
      </c>
      <c r="L37" s="68">
        <v>1</v>
      </c>
      <c r="M37" s="66"/>
      <c r="N37" s="66"/>
      <c r="O37" s="66"/>
      <c r="P37" s="66"/>
      <c r="Q37" s="66"/>
      <c r="R37" s="66"/>
      <c r="S37" s="66"/>
      <c r="T37" s="66"/>
      <c r="U37" s="66"/>
      <c r="V37" s="66">
        <f>($K37*$D37)/$L37</f>
        <v>1050</v>
      </c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</row>
    <row r="38" spans="1:48" ht="16.5" customHeight="1" x14ac:dyDescent="0.35">
      <c r="A38" s="107" t="s">
        <v>84</v>
      </c>
      <c r="B38" s="69" t="s">
        <v>129</v>
      </c>
      <c r="C38" s="71" t="s">
        <v>207</v>
      </c>
      <c r="D38" s="83">
        <v>17</v>
      </c>
      <c r="E38" s="72" t="s">
        <v>98</v>
      </c>
      <c r="F38" s="70" t="s">
        <v>85</v>
      </c>
      <c r="G38" s="70" t="s">
        <v>4</v>
      </c>
      <c r="H38" s="70" t="s">
        <v>93</v>
      </c>
      <c r="I38" s="70" t="s">
        <v>149</v>
      </c>
      <c r="J38" s="5">
        <v>2025</v>
      </c>
      <c r="K38" s="67">
        <v>64</v>
      </c>
      <c r="L38" s="68">
        <v>3</v>
      </c>
      <c r="M38" s="66"/>
      <c r="N38" s="66"/>
      <c r="O38" s="66"/>
      <c r="P38" s="66"/>
      <c r="Q38" s="66">
        <v>113</v>
      </c>
      <c r="R38" s="66">
        <v>720</v>
      </c>
      <c r="S38" s="66">
        <v>264</v>
      </c>
      <c r="T38" s="66"/>
      <c r="U38" s="66"/>
      <c r="V38" s="66"/>
      <c r="W38" s="66"/>
      <c r="X38" s="65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</row>
    <row r="39" spans="1:48" ht="16.5" customHeight="1" x14ac:dyDescent="0.35">
      <c r="A39" s="107" t="s">
        <v>84</v>
      </c>
      <c r="B39" s="69" t="s">
        <v>129</v>
      </c>
      <c r="C39" s="71" t="s">
        <v>208</v>
      </c>
      <c r="D39" s="83">
        <v>24</v>
      </c>
      <c r="E39" s="72" t="s">
        <v>98</v>
      </c>
      <c r="F39" s="70" t="s">
        <v>85</v>
      </c>
      <c r="G39" s="70" t="s">
        <v>4</v>
      </c>
      <c r="H39" s="70" t="s">
        <v>93</v>
      </c>
      <c r="I39" s="70" t="s">
        <v>149</v>
      </c>
      <c r="J39" s="5">
        <v>2025</v>
      </c>
      <c r="K39" s="67">
        <v>45</v>
      </c>
      <c r="L39" s="68">
        <v>1</v>
      </c>
      <c r="M39" s="66"/>
      <c r="N39" s="66"/>
      <c r="O39" s="66"/>
      <c r="P39" s="66"/>
      <c r="Q39" s="66"/>
      <c r="R39" s="66"/>
      <c r="S39" s="66"/>
      <c r="T39" s="66"/>
      <c r="U39" s="66"/>
      <c r="V39" s="66">
        <f>($K39*$D39)/$L39</f>
        <v>1080</v>
      </c>
      <c r="W39" s="66"/>
      <c r="X39" s="65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</row>
    <row r="40" spans="1:48" ht="16.5" customHeight="1" x14ac:dyDescent="0.35">
      <c r="A40" s="107" t="s">
        <v>84</v>
      </c>
      <c r="B40" s="145" t="s">
        <v>129</v>
      </c>
      <c r="C40" s="71" t="s">
        <v>537</v>
      </c>
      <c r="D40" s="147">
        <v>39</v>
      </c>
      <c r="E40" s="148" t="s">
        <v>98</v>
      </c>
      <c r="F40" s="149" t="s">
        <v>85</v>
      </c>
      <c r="G40" s="149" t="s">
        <v>4</v>
      </c>
      <c r="H40" s="149" t="s">
        <v>87</v>
      </c>
      <c r="I40" s="149" t="s">
        <v>148</v>
      </c>
      <c r="J40" s="150">
        <v>2026</v>
      </c>
      <c r="K40" s="151">
        <v>150</v>
      </c>
      <c r="L40" s="152">
        <v>1</v>
      </c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>
        <f>($K40*$D40)/$L40</f>
        <v>5850</v>
      </c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</row>
    <row r="41" spans="1:48" ht="16.5" customHeight="1" x14ac:dyDescent="0.35">
      <c r="A41" s="107" t="s">
        <v>97</v>
      </c>
      <c r="B41" s="72" t="s">
        <v>477</v>
      </c>
      <c r="C41" s="71" t="s">
        <v>478</v>
      </c>
      <c r="D41" s="83">
        <v>84</v>
      </c>
      <c r="E41" s="72" t="s">
        <v>72</v>
      </c>
      <c r="F41" s="70" t="s">
        <v>85</v>
      </c>
      <c r="G41" s="70" t="s">
        <v>4</v>
      </c>
      <c r="H41" s="70" t="s">
        <v>93</v>
      </c>
      <c r="I41" s="70" t="s">
        <v>149</v>
      </c>
      <c r="J41" s="5">
        <v>2025</v>
      </c>
      <c r="K41" s="67">
        <v>7.36</v>
      </c>
      <c r="L41" s="68">
        <v>2</v>
      </c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5"/>
      <c r="X41" s="65">
        <f>($K41*$D41)/$L41</f>
        <v>309.12</v>
      </c>
      <c r="Y41" s="65">
        <f>($K41*$D41)/$L41</f>
        <v>309.12</v>
      </c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</row>
    <row r="42" spans="1:48" ht="16.5" customHeight="1" x14ac:dyDescent="0.35">
      <c r="A42" s="107" t="s">
        <v>84</v>
      </c>
      <c r="B42" s="145" t="s">
        <v>129</v>
      </c>
      <c r="C42" s="71" t="s">
        <v>570</v>
      </c>
      <c r="D42" s="147">
        <v>30</v>
      </c>
      <c r="E42" s="148" t="s">
        <v>98</v>
      </c>
      <c r="F42" s="149" t="s">
        <v>85</v>
      </c>
      <c r="G42" s="149" t="s">
        <v>4</v>
      </c>
      <c r="H42" s="149" t="s">
        <v>87</v>
      </c>
      <c r="I42" s="149" t="s">
        <v>148</v>
      </c>
      <c r="J42" s="150">
        <v>2026</v>
      </c>
      <c r="K42" s="151">
        <v>88</v>
      </c>
      <c r="L42" s="152">
        <v>2</v>
      </c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5"/>
      <c r="X42" s="65"/>
      <c r="Y42" s="65">
        <v>100</v>
      </c>
      <c r="Z42" s="65">
        <v>410</v>
      </c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</row>
    <row r="43" spans="1:48" ht="16.5" customHeight="1" x14ac:dyDescent="0.35">
      <c r="A43" s="108" t="s">
        <v>84</v>
      </c>
      <c r="B43" s="148" t="s">
        <v>129</v>
      </c>
      <c r="C43" s="71" t="s">
        <v>565</v>
      </c>
      <c r="D43" s="147">
        <v>20</v>
      </c>
      <c r="E43" s="148" t="s">
        <v>98</v>
      </c>
      <c r="F43" s="149" t="s">
        <v>85</v>
      </c>
      <c r="G43" s="149" t="s">
        <v>4</v>
      </c>
      <c r="H43" s="149" t="s">
        <v>87</v>
      </c>
      <c r="I43" s="149" t="s">
        <v>149</v>
      </c>
      <c r="J43" s="150">
        <v>2026</v>
      </c>
      <c r="K43" s="151">
        <v>310</v>
      </c>
      <c r="L43" s="152">
        <v>2</v>
      </c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5"/>
      <c r="Y43" s="66"/>
      <c r="Z43" s="66">
        <f>($K43*$D43)/$L43</f>
        <v>3100</v>
      </c>
      <c r="AA43" s="66">
        <f>($K43*$D43)/$L43</f>
        <v>3100</v>
      </c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</row>
    <row r="44" spans="1:48" ht="16.5" customHeight="1" x14ac:dyDescent="0.35">
      <c r="A44" s="107" t="s">
        <v>84</v>
      </c>
      <c r="B44" s="69" t="s">
        <v>129</v>
      </c>
      <c r="C44" s="71" t="s">
        <v>525</v>
      </c>
      <c r="D44" s="83">
        <v>4</v>
      </c>
      <c r="E44" s="72" t="s">
        <v>98</v>
      </c>
      <c r="F44" s="70" t="s">
        <v>85</v>
      </c>
      <c r="G44" s="70" t="s">
        <v>4</v>
      </c>
      <c r="H44" s="70" t="s">
        <v>93</v>
      </c>
      <c r="I44" s="70" t="s">
        <v>149</v>
      </c>
      <c r="J44" s="5">
        <v>2025</v>
      </c>
      <c r="K44" s="67">
        <v>30</v>
      </c>
      <c r="L44" s="68">
        <v>1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5">
        <f>($K44*$D44)/$L44</f>
        <v>120</v>
      </c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</row>
    <row r="45" spans="1:48" ht="16.5" customHeight="1" x14ac:dyDescent="0.35">
      <c r="A45" s="107" t="s">
        <v>84</v>
      </c>
      <c r="B45" s="69" t="s">
        <v>129</v>
      </c>
      <c r="C45" s="71" t="s">
        <v>514</v>
      </c>
      <c r="D45" s="83">
        <v>8</v>
      </c>
      <c r="E45" s="72" t="s">
        <v>98</v>
      </c>
      <c r="F45" s="70" t="s">
        <v>85</v>
      </c>
      <c r="G45" s="70" t="s">
        <v>4</v>
      </c>
      <c r="H45" s="70" t="s">
        <v>93</v>
      </c>
      <c r="I45" s="70" t="s">
        <v>144</v>
      </c>
      <c r="J45" s="5">
        <v>2025</v>
      </c>
      <c r="K45" s="67">
        <v>370</v>
      </c>
      <c r="L45" s="68">
        <v>2</v>
      </c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5">
        <f>($K45*$D45)/$L45</f>
        <v>1480</v>
      </c>
      <c r="X45" s="65">
        <f>($K45*$D45)/$L45</f>
        <v>1480</v>
      </c>
      <c r="Y45" s="65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</row>
    <row r="46" spans="1:48" ht="16.5" customHeight="1" x14ac:dyDescent="0.35">
      <c r="A46" s="108" t="s">
        <v>84</v>
      </c>
      <c r="B46" s="148" t="s">
        <v>129</v>
      </c>
      <c r="C46" s="71" t="s">
        <v>571</v>
      </c>
      <c r="D46" s="83">
        <v>57</v>
      </c>
      <c r="E46" s="148" t="s">
        <v>98</v>
      </c>
      <c r="F46" s="149" t="s">
        <v>85</v>
      </c>
      <c r="G46" s="149" t="s">
        <v>4</v>
      </c>
      <c r="H46" s="149" t="s">
        <v>87</v>
      </c>
      <c r="I46" s="70" t="s">
        <v>167</v>
      </c>
      <c r="J46" s="150">
        <v>2026</v>
      </c>
      <c r="K46" s="151">
        <v>88</v>
      </c>
      <c r="L46" s="152">
        <v>2</v>
      </c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6">
        <f>($K46*$D46)/$L46</f>
        <v>2508</v>
      </c>
      <c r="AJ46" s="66">
        <f>($K46*$D46)/$L46</f>
        <v>2508</v>
      </c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</row>
    <row r="47" spans="1:48" ht="16.5" customHeight="1" x14ac:dyDescent="0.35">
      <c r="A47" s="107" t="s">
        <v>84</v>
      </c>
      <c r="B47" s="145" t="s">
        <v>129</v>
      </c>
      <c r="C47" s="71" t="s">
        <v>566</v>
      </c>
      <c r="D47" s="147">
        <v>5</v>
      </c>
      <c r="E47" s="148" t="s">
        <v>98</v>
      </c>
      <c r="F47" s="149" t="s">
        <v>85</v>
      </c>
      <c r="G47" s="149" t="s">
        <v>4</v>
      </c>
      <c r="H47" s="149" t="s">
        <v>87</v>
      </c>
      <c r="I47" s="149" t="s">
        <v>148</v>
      </c>
      <c r="J47" s="150">
        <v>2026</v>
      </c>
      <c r="K47" s="151">
        <v>310</v>
      </c>
      <c r="L47" s="152">
        <v>1</v>
      </c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5"/>
      <c r="Y47" s="65">
        <f>($K47*$D47)/$L47</f>
        <v>1550</v>
      </c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</row>
    <row r="48" spans="1:48" ht="16.5" customHeight="1" x14ac:dyDescent="0.35">
      <c r="A48" s="107" t="s">
        <v>84</v>
      </c>
      <c r="B48" s="69" t="s">
        <v>129</v>
      </c>
      <c r="C48" s="71" t="s">
        <v>479</v>
      </c>
      <c r="D48" s="83">
        <v>4</v>
      </c>
      <c r="E48" s="72" t="s">
        <v>98</v>
      </c>
      <c r="F48" s="70" t="s">
        <v>85</v>
      </c>
      <c r="G48" s="70" t="s">
        <v>4</v>
      </c>
      <c r="H48" s="70" t="s">
        <v>93</v>
      </c>
      <c r="I48" s="70" t="s">
        <v>149</v>
      </c>
      <c r="J48" s="5">
        <v>2025</v>
      </c>
      <c r="K48" s="67">
        <v>370</v>
      </c>
      <c r="L48" s="68">
        <v>2</v>
      </c>
      <c r="M48" s="66"/>
      <c r="N48" s="66"/>
      <c r="O48" s="66"/>
      <c r="P48" s="66"/>
      <c r="Q48" s="66"/>
      <c r="R48" s="66"/>
      <c r="S48" s="66"/>
      <c r="T48" s="66"/>
      <c r="U48" s="66"/>
      <c r="V48" s="65">
        <f>($K48*$D48)/$L48</f>
        <v>740</v>
      </c>
      <c r="W48" s="65">
        <f>($K48*$D48)/$L48</f>
        <v>740</v>
      </c>
      <c r="X48" s="65"/>
      <c r="Y48" s="65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</row>
    <row r="49" spans="1:48" ht="16.5" customHeight="1" x14ac:dyDescent="0.35">
      <c r="A49" s="107" t="s">
        <v>84</v>
      </c>
      <c r="B49" s="69" t="s">
        <v>129</v>
      </c>
      <c r="C49" s="71" t="s">
        <v>480</v>
      </c>
      <c r="D49" s="83">
        <v>4</v>
      </c>
      <c r="E49" s="72" t="s">
        <v>98</v>
      </c>
      <c r="F49" s="70" t="s">
        <v>85</v>
      </c>
      <c r="G49" s="70" t="s">
        <v>4</v>
      </c>
      <c r="H49" s="70" t="s">
        <v>93</v>
      </c>
      <c r="I49" s="70" t="s">
        <v>149</v>
      </c>
      <c r="J49" s="5">
        <v>2025</v>
      </c>
      <c r="K49" s="67">
        <v>30</v>
      </c>
      <c r="L49" s="68">
        <v>2</v>
      </c>
      <c r="M49" s="66"/>
      <c r="N49" s="66"/>
      <c r="O49" s="66"/>
      <c r="P49" s="66"/>
      <c r="Q49" s="66"/>
      <c r="R49" s="66"/>
      <c r="S49" s="66"/>
      <c r="T49" s="66"/>
      <c r="U49" s="66"/>
      <c r="V49" s="65">
        <f>($K49*$D49)/$L49</f>
        <v>60</v>
      </c>
      <c r="W49" s="65">
        <f>($K49*$D49)/$L49</f>
        <v>60</v>
      </c>
      <c r="X49" s="65"/>
      <c r="Y49" s="65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</row>
    <row r="50" spans="1:48" ht="16.5" customHeight="1" x14ac:dyDescent="0.35">
      <c r="A50" s="107" t="s">
        <v>84</v>
      </c>
      <c r="B50" s="69" t="s">
        <v>129</v>
      </c>
      <c r="C50" s="71" t="s">
        <v>526</v>
      </c>
      <c r="D50" s="83">
        <v>30</v>
      </c>
      <c r="E50" s="72" t="s">
        <v>98</v>
      </c>
      <c r="F50" s="70" t="s">
        <v>85</v>
      </c>
      <c r="G50" s="70" t="s">
        <v>4</v>
      </c>
      <c r="H50" s="70" t="s">
        <v>93</v>
      </c>
      <c r="I50" s="70" t="s">
        <v>146</v>
      </c>
      <c r="J50" s="5">
        <v>2025</v>
      </c>
      <c r="K50" s="67">
        <v>370</v>
      </c>
      <c r="L50" s="68">
        <v>1</v>
      </c>
      <c r="M50" s="66"/>
      <c r="N50" s="66"/>
      <c r="O50" s="66"/>
      <c r="P50" s="66"/>
      <c r="Q50" s="66"/>
      <c r="R50" s="66"/>
      <c r="S50" s="66"/>
      <c r="T50" s="66"/>
      <c r="U50" s="66"/>
      <c r="V50" s="65"/>
      <c r="W50" s="65"/>
      <c r="X50" s="65">
        <f>($K50*$D50)/$L50</f>
        <v>11100</v>
      </c>
      <c r="Y50" s="65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</row>
    <row r="51" spans="1:48" ht="16.5" customHeight="1" x14ac:dyDescent="0.35">
      <c r="A51" s="107" t="s">
        <v>84</v>
      </c>
      <c r="B51" s="69" t="s">
        <v>129</v>
      </c>
      <c r="C51" s="71" t="s">
        <v>513</v>
      </c>
      <c r="D51" s="83">
        <v>11</v>
      </c>
      <c r="E51" s="72" t="s">
        <v>98</v>
      </c>
      <c r="F51" s="70" t="s">
        <v>85</v>
      </c>
      <c r="G51" s="70" t="s">
        <v>4</v>
      </c>
      <c r="H51" s="70" t="s">
        <v>93</v>
      </c>
      <c r="I51" s="70" t="s">
        <v>149</v>
      </c>
      <c r="J51" s="5">
        <v>2025</v>
      </c>
      <c r="K51" s="67">
        <v>45</v>
      </c>
      <c r="L51" s="68">
        <v>1</v>
      </c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5">
        <f>($K51*$D51)/$L51</f>
        <v>495</v>
      </c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</row>
    <row r="52" spans="1:48" ht="16.5" customHeight="1" x14ac:dyDescent="0.35">
      <c r="A52" s="107" t="s">
        <v>84</v>
      </c>
      <c r="B52" s="69" t="s">
        <v>129</v>
      </c>
      <c r="C52" s="71" t="s">
        <v>528</v>
      </c>
      <c r="D52" s="83">
        <v>30</v>
      </c>
      <c r="E52" s="72" t="s">
        <v>98</v>
      </c>
      <c r="F52" s="70" t="s">
        <v>85</v>
      </c>
      <c r="G52" s="70" t="s">
        <v>4</v>
      </c>
      <c r="H52" s="70" t="s">
        <v>87</v>
      </c>
      <c r="I52" s="70" t="s">
        <v>146</v>
      </c>
      <c r="J52" s="5">
        <v>2025</v>
      </c>
      <c r="K52" s="67">
        <v>45</v>
      </c>
      <c r="L52" s="68">
        <v>1</v>
      </c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>
        <f>($K52*$D52)/$L52</f>
        <v>1350</v>
      </c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</row>
    <row r="53" spans="1:48" ht="16.5" customHeight="1" x14ac:dyDescent="0.35">
      <c r="A53" s="107" t="s">
        <v>84</v>
      </c>
      <c r="B53" s="145" t="s">
        <v>129</v>
      </c>
      <c r="C53" s="71" t="s">
        <v>209</v>
      </c>
      <c r="D53" s="147">
        <v>25</v>
      </c>
      <c r="E53" s="148" t="s">
        <v>98</v>
      </c>
      <c r="F53" s="149" t="s">
        <v>85</v>
      </c>
      <c r="G53" s="149" t="s">
        <v>4</v>
      </c>
      <c r="H53" s="149" t="s">
        <v>87</v>
      </c>
      <c r="I53" s="149" t="s">
        <v>148</v>
      </c>
      <c r="J53" s="150">
        <v>2026</v>
      </c>
      <c r="K53" s="151">
        <v>88</v>
      </c>
      <c r="L53" s="152">
        <v>2</v>
      </c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5"/>
      <c r="Y53" s="66">
        <f>($K53*$D53)/$L53</f>
        <v>1100</v>
      </c>
      <c r="Z53" s="66">
        <f>($K53*$D53)/$L53</f>
        <v>1100</v>
      </c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</row>
    <row r="54" spans="1:48" ht="16.5" customHeight="1" x14ac:dyDescent="0.35">
      <c r="A54" s="107" t="s">
        <v>84</v>
      </c>
      <c r="B54" s="145" t="s">
        <v>129</v>
      </c>
      <c r="C54" s="71" t="s">
        <v>569</v>
      </c>
      <c r="D54" s="147">
        <v>22</v>
      </c>
      <c r="E54" s="148" t="s">
        <v>98</v>
      </c>
      <c r="F54" s="149" t="s">
        <v>85</v>
      </c>
      <c r="G54" s="149" t="s">
        <v>4</v>
      </c>
      <c r="H54" s="149" t="s">
        <v>87</v>
      </c>
      <c r="I54" s="149" t="s">
        <v>153</v>
      </c>
      <c r="J54" s="150">
        <v>2026</v>
      </c>
      <c r="K54" s="151">
        <v>88</v>
      </c>
      <c r="L54" s="152">
        <v>2</v>
      </c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5"/>
      <c r="Y54" s="66"/>
      <c r="Z54" s="66"/>
      <c r="AA54" s="66"/>
      <c r="AB54" s="66">
        <f>($K54*$D54)/$L54</f>
        <v>968</v>
      </c>
      <c r="AC54" s="66">
        <f>($K54*$D54)/$L54</f>
        <v>968</v>
      </c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</row>
    <row r="55" spans="1:48" ht="16.5" customHeight="1" x14ac:dyDescent="0.35">
      <c r="A55" s="107" t="s">
        <v>84</v>
      </c>
      <c r="B55" s="145" t="s">
        <v>129</v>
      </c>
      <c r="C55" s="71" t="s">
        <v>567</v>
      </c>
      <c r="D55" s="147">
        <v>10</v>
      </c>
      <c r="E55" s="148" t="s">
        <v>98</v>
      </c>
      <c r="F55" s="149" t="s">
        <v>85</v>
      </c>
      <c r="G55" s="149" t="s">
        <v>4</v>
      </c>
      <c r="H55" s="149" t="s">
        <v>87</v>
      </c>
      <c r="I55" s="149" t="s">
        <v>149</v>
      </c>
      <c r="J55" s="150">
        <v>2026</v>
      </c>
      <c r="K55" s="151">
        <v>310</v>
      </c>
      <c r="L55" s="152">
        <v>2</v>
      </c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5"/>
      <c r="Y55" s="66"/>
      <c r="Z55" s="66">
        <v>1000</v>
      </c>
      <c r="AA55" s="66">
        <v>2100</v>
      </c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</row>
    <row r="56" spans="1:48" ht="16.5" customHeight="1" x14ac:dyDescent="0.35">
      <c r="A56" s="107" t="s">
        <v>84</v>
      </c>
      <c r="B56" s="69" t="s">
        <v>129</v>
      </c>
      <c r="C56" s="71" t="s">
        <v>210</v>
      </c>
      <c r="D56" s="83">
        <v>45</v>
      </c>
      <c r="E56" s="72" t="s">
        <v>98</v>
      </c>
      <c r="F56" s="70" t="s">
        <v>85</v>
      </c>
      <c r="G56" s="70" t="s">
        <v>4</v>
      </c>
      <c r="H56" s="70" t="s">
        <v>93</v>
      </c>
      <c r="I56" s="70" t="s">
        <v>149</v>
      </c>
      <c r="J56" s="5">
        <v>2025</v>
      </c>
      <c r="K56" s="67">
        <v>35</v>
      </c>
      <c r="L56" s="68">
        <v>3</v>
      </c>
      <c r="M56" s="66"/>
      <c r="N56" s="66"/>
      <c r="O56" s="66"/>
      <c r="P56" s="66"/>
      <c r="Q56" s="66">
        <v>88</v>
      </c>
      <c r="R56" s="66">
        <v>704</v>
      </c>
      <c r="S56" s="66">
        <v>785</v>
      </c>
      <c r="T56" s="66"/>
      <c r="U56" s="66"/>
      <c r="V56" s="66"/>
      <c r="W56" s="66"/>
      <c r="X56" s="65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</row>
    <row r="57" spans="1:48" ht="17.25" customHeight="1" x14ac:dyDescent="0.35">
      <c r="A57" s="107" t="s">
        <v>84</v>
      </c>
      <c r="B57" s="69" t="s">
        <v>129</v>
      </c>
      <c r="C57" s="71" t="s">
        <v>211</v>
      </c>
      <c r="D57" s="83">
        <v>23</v>
      </c>
      <c r="E57" s="72" t="s">
        <v>98</v>
      </c>
      <c r="F57" s="70" t="s">
        <v>85</v>
      </c>
      <c r="G57" s="70" t="s">
        <v>4</v>
      </c>
      <c r="H57" s="70" t="s">
        <v>93</v>
      </c>
      <c r="I57" s="70" t="s">
        <v>149</v>
      </c>
      <c r="J57" s="5">
        <v>2025</v>
      </c>
      <c r="K57" s="67">
        <v>77</v>
      </c>
      <c r="L57" s="68">
        <v>1</v>
      </c>
      <c r="M57" s="66"/>
      <c r="N57" s="66"/>
      <c r="O57" s="66"/>
      <c r="P57" s="66"/>
      <c r="Q57" s="66"/>
      <c r="R57" s="66"/>
      <c r="S57" s="66">
        <v>1781</v>
      </c>
      <c r="T57" s="66"/>
      <c r="U57" s="66"/>
      <c r="V57" s="66"/>
      <c r="W57" s="66"/>
      <c r="X57" s="65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</row>
    <row r="58" spans="1:48" ht="17.25" customHeight="1" x14ac:dyDescent="0.35">
      <c r="A58" s="107" t="s">
        <v>84</v>
      </c>
      <c r="B58" s="69" t="s">
        <v>129</v>
      </c>
      <c r="C58" s="71" t="s">
        <v>212</v>
      </c>
      <c r="D58" s="83">
        <v>10</v>
      </c>
      <c r="E58" s="72" t="s">
        <v>98</v>
      </c>
      <c r="F58" s="70" t="s">
        <v>85</v>
      </c>
      <c r="G58" s="70" t="s">
        <v>4</v>
      </c>
      <c r="H58" s="70" t="s">
        <v>93</v>
      </c>
      <c r="I58" s="70" t="s">
        <v>149</v>
      </c>
      <c r="J58" s="5">
        <v>2025</v>
      </c>
      <c r="K58" s="67">
        <v>40</v>
      </c>
      <c r="L58" s="68">
        <v>1</v>
      </c>
      <c r="M58" s="66"/>
      <c r="N58" s="66"/>
      <c r="O58" s="66"/>
      <c r="P58" s="66"/>
      <c r="Q58" s="66"/>
      <c r="R58" s="66"/>
      <c r="S58" s="66"/>
      <c r="T58" s="66">
        <f>($K58*$D58)/$L58</f>
        <v>400</v>
      </c>
      <c r="U58" s="66"/>
      <c r="V58" s="66"/>
      <c r="W58" s="66"/>
      <c r="X58" s="65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</row>
    <row r="59" spans="1:48" ht="17.25" customHeight="1" x14ac:dyDescent="0.35">
      <c r="A59" s="107" t="s">
        <v>84</v>
      </c>
      <c r="B59" s="145" t="s">
        <v>129</v>
      </c>
      <c r="C59" s="71" t="s">
        <v>568</v>
      </c>
      <c r="D59" s="147">
        <v>5</v>
      </c>
      <c r="E59" s="148" t="s">
        <v>98</v>
      </c>
      <c r="F59" s="149" t="s">
        <v>85</v>
      </c>
      <c r="G59" s="149" t="s">
        <v>4</v>
      </c>
      <c r="H59" s="149" t="s">
        <v>87</v>
      </c>
      <c r="I59" s="149" t="s">
        <v>148</v>
      </c>
      <c r="J59" s="150">
        <v>2026</v>
      </c>
      <c r="K59" s="151">
        <v>310</v>
      </c>
      <c r="L59" s="152">
        <v>2</v>
      </c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>
        <f>($K59*$D59)/$L59</f>
        <v>775</v>
      </c>
      <c r="Z59" s="66">
        <f>($K59*$D59)/$L59</f>
        <v>775</v>
      </c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</row>
    <row r="60" spans="1:48" ht="17.25" customHeight="1" x14ac:dyDescent="0.35">
      <c r="A60" s="107" t="s">
        <v>84</v>
      </c>
      <c r="B60" s="69" t="s">
        <v>129</v>
      </c>
      <c r="C60" s="71" t="s">
        <v>536</v>
      </c>
      <c r="D60" s="83">
        <v>3</v>
      </c>
      <c r="E60" s="72" t="s">
        <v>98</v>
      </c>
      <c r="F60" s="70" t="s">
        <v>85</v>
      </c>
      <c r="G60" s="70" t="s">
        <v>4</v>
      </c>
      <c r="H60" s="70" t="s">
        <v>87</v>
      </c>
      <c r="I60" s="70" t="s">
        <v>149</v>
      </c>
      <c r="J60" s="5">
        <v>2025</v>
      </c>
      <c r="K60" s="67">
        <v>370</v>
      </c>
      <c r="L60" s="68">
        <v>1</v>
      </c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>
        <f>($K60*$D60)/$L60</f>
        <v>1110</v>
      </c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</row>
    <row r="61" spans="1:48" ht="17.25" customHeight="1" x14ac:dyDescent="0.35">
      <c r="A61" s="107" t="s">
        <v>84</v>
      </c>
      <c r="B61" s="69" t="s">
        <v>129</v>
      </c>
      <c r="C61" s="71" t="s">
        <v>527</v>
      </c>
      <c r="D61" s="83">
        <v>7</v>
      </c>
      <c r="E61" s="72" t="s">
        <v>98</v>
      </c>
      <c r="F61" s="70" t="s">
        <v>85</v>
      </c>
      <c r="G61" s="70" t="s">
        <v>4</v>
      </c>
      <c r="H61" s="70" t="s">
        <v>93</v>
      </c>
      <c r="I61" s="70" t="s">
        <v>142</v>
      </c>
      <c r="J61" s="5">
        <v>2025</v>
      </c>
      <c r="K61" s="67">
        <v>370</v>
      </c>
      <c r="L61" s="68">
        <v>2</v>
      </c>
      <c r="M61" s="66"/>
      <c r="N61" s="66"/>
      <c r="O61" s="66"/>
      <c r="P61" s="66"/>
      <c r="Q61" s="66"/>
      <c r="R61" s="66"/>
      <c r="S61" s="66"/>
      <c r="T61" s="66"/>
      <c r="U61" s="66"/>
      <c r="V61" s="66">
        <f>($K61*$D61)/$L61</f>
        <v>1295</v>
      </c>
      <c r="W61" s="66">
        <f>($K61*$D61)/$L61</f>
        <v>1295</v>
      </c>
      <c r="X61" s="65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</row>
    <row r="62" spans="1:48" ht="16.5" customHeight="1" x14ac:dyDescent="0.35">
      <c r="A62" s="107" t="s">
        <v>77</v>
      </c>
      <c r="B62" s="69" t="s">
        <v>121</v>
      </c>
      <c r="C62" s="71" t="s">
        <v>465</v>
      </c>
      <c r="D62" s="83">
        <v>1</v>
      </c>
      <c r="E62" s="72" t="s">
        <v>72</v>
      </c>
      <c r="F62" s="70" t="s">
        <v>78</v>
      </c>
      <c r="G62" s="70" t="s">
        <v>4</v>
      </c>
      <c r="H62" s="70" t="s">
        <v>93</v>
      </c>
      <c r="I62" s="70" t="s">
        <v>149</v>
      </c>
      <c r="J62" s="5">
        <v>2025</v>
      </c>
      <c r="K62" s="67">
        <v>960</v>
      </c>
      <c r="L62" s="68">
        <v>2</v>
      </c>
      <c r="M62" s="66"/>
      <c r="N62" s="66"/>
      <c r="O62" s="66"/>
      <c r="P62" s="66"/>
      <c r="Q62" s="66">
        <v>480</v>
      </c>
      <c r="R62" s="66">
        <v>480</v>
      </c>
      <c r="S62" s="66"/>
      <c r="T62" s="66"/>
      <c r="U62" s="66"/>
      <c r="V62" s="66"/>
      <c r="W62" s="66"/>
      <c r="X62" s="65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</row>
    <row r="63" spans="1:48" ht="16.5" customHeight="1" x14ac:dyDescent="0.35">
      <c r="A63" s="107" t="s">
        <v>77</v>
      </c>
      <c r="B63" s="69" t="s">
        <v>121</v>
      </c>
      <c r="C63" s="71" t="s">
        <v>466</v>
      </c>
      <c r="D63" s="83">
        <v>1</v>
      </c>
      <c r="E63" s="72" t="s">
        <v>98</v>
      </c>
      <c r="F63" s="70" t="s">
        <v>85</v>
      </c>
      <c r="G63" s="70" t="s">
        <v>4</v>
      </c>
      <c r="H63" s="70" t="s">
        <v>93</v>
      </c>
      <c r="I63" s="70" t="s">
        <v>149</v>
      </c>
      <c r="J63" s="5">
        <v>2025</v>
      </c>
      <c r="K63" s="67">
        <v>450</v>
      </c>
      <c r="L63" s="68">
        <v>1</v>
      </c>
      <c r="M63" s="66"/>
      <c r="N63" s="66">
        <v>450</v>
      </c>
      <c r="O63" s="66"/>
      <c r="P63" s="66"/>
      <c r="Q63" s="66"/>
      <c r="R63" s="66"/>
      <c r="S63" s="66"/>
      <c r="T63" s="66"/>
      <c r="U63" s="66"/>
      <c r="V63" s="66"/>
      <c r="W63" s="66"/>
      <c r="X63" s="65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</row>
    <row r="64" spans="1:48" ht="16.5" customHeight="1" x14ac:dyDescent="0.35">
      <c r="A64" s="107" t="s">
        <v>84</v>
      </c>
      <c r="B64" s="69" t="s">
        <v>125</v>
      </c>
      <c r="C64" s="71" t="s">
        <v>213</v>
      </c>
      <c r="D64" s="83">
        <v>10</v>
      </c>
      <c r="E64" s="72" t="s">
        <v>79</v>
      </c>
      <c r="F64" s="70" t="s">
        <v>78</v>
      </c>
      <c r="G64" s="70" t="s">
        <v>4</v>
      </c>
      <c r="H64" s="70" t="s">
        <v>93</v>
      </c>
      <c r="I64" s="70" t="s">
        <v>149</v>
      </c>
      <c r="J64" s="5">
        <v>2025</v>
      </c>
      <c r="K64" s="67">
        <v>460</v>
      </c>
      <c r="L64" s="68">
        <v>3</v>
      </c>
      <c r="M64" s="66"/>
      <c r="N64" s="66"/>
      <c r="O64" s="66"/>
      <c r="P64" s="66"/>
      <c r="Q64" s="66"/>
      <c r="R64" s="66"/>
      <c r="S64" s="66">
        <v>1850</v>
      </c>
      <c r="T64" s="66">
        <v>1850</v>
      </c>
      <c r="U64" s="66">
        <v>900</v>
      </c>
      <c r="V64" s="66">
        <v>450</v>
      </c>
      <c r="W64" s="66"/>
      <c r="X64" s="65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</row>
    <row r="65" spans="1:48" ht="16.5" customHeight="1" x14ac:dyDescent="0.35">
      <c r="A65" s="107" t="s">
        <v>84</v>
      </c>
      <c r="B65" s="69" t="s">
        <v>125</v>
      </c>
      <c r="C65" s="71" t="s">
        <v>214</v>
      </c>
      <c r="D65" s="83">
        <v>128</v>
      </c>
      <c r="E65" s="72" t="s">
        <v>98</v>
      </c>
      <c r="F65" s="70" t="s">
        <v>85</v>
      </c>
      <c r="G65" s="70" t="s">
        <v>4</v>
      </c>
      <c r="H65" s="70" t="s">
        <v>93</v>
      </c>
      <c r="I65" s="70" t="s">
        <v>142</v>
      </c>
      <c r="J65" s="5">
        <v>2025</v>
      </c>
      <c r="K65" s="67">
        <v>25</v>
      </c>
      <c r="L65" s="68">
        <v>2</v>
      </c>
      <c r="M65" s="66"/>
      <c r="N65" s="66"/>
      <c r="O65" s="66"/>
      <c r="P65" s="66"/>
      <c r="Q65" s="66"/>
      <c r="R65" s="66"/>
      <c r="S65" s="66"/>
      <c r="T65" s="66"/>
      <c r="U65" s="66"/>
      <c r="V65" s="66">
        <f>($K65*$D65)/$L65</f>
        <v>1600</v>
      </c>
      <c r="W65" s="66">
        <f>($K65*$D65)/$L65</f>
        <v>1600</v>
      </c>
      <c r="X65" s="65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</row>
    <row r="66" spans="1:48" ht="16.5" customHeight="1" x14ac:dyDescent="0.35">
      <c r="A66" s="107" t="s">
        <v>84</v>
      </c>
      <c r="B66" s="69" t="s">
        <v>125</v>
      </c>
      <c r="C66" s="71" t="s">
        <v>215</v>
      </c>
      <c r="D66" s="83">
        <v>30</v>
      </c>
      <c r="E66" s="72" t="s">
        <v>98</v>
      </c>
      <c r="F66" s="70" t="s">
        <v>85</v>
      </c>
      <c r="G66" s="70" t="s">
        <v>4</v>
      </c>
      <c r="H66" s="70" t="s">
        <v>93</v>
      </c>
      <c r="I66" s="70" t="s">
        <v>149</v>
      </c>
      <c r="J66" s="5">
        <v>2025</v>
      </c>
      <c r="K66" s="67">
        <v>30</v>
      </c>
      <c r="L66" s="68">
        <v>1</v>
      </c>
      <c r="M66" s="66"/>
      <c r="N66" s="66"/>
      <c r="O66" s="66"/>
      <c r="P66" s="66">
        <f>($K66*$D66)/$L66</f>
        <v>900</v>
      </c>
      <c r="Q66" s="66"/>
      <c r="R66" s="66"/>
      <c r="S66" s="66"/>
      <c r="T66" s="66"/>
      <c r="U66" s="66"/>
      <c r="V66" s="66"/>
      <c r="W66" s="66"/>
      <c r="X66" s="65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</row>
    <row r="67" spans="1:48" ht="16.5" customHeight="1" x14ac:dyDescent="0.35">
      <c r="A67" s="107" t="s">
        <v>84</v>
      </c>
      <c r="B67" s="69" t="s">
        <v>125</v>
      </c>
      <c r="C67" s="71" t="s">
        <v>216</v>
      </c>
      <c r="D67" s="83">
        <v>123</v>
      </c>
      <c r="E67" s="72" t="s">
        <v>98</v>
      </c>
      <c r="F67" s="70" t="s">
        <v>85</v>
      </c>
      <c r="G67" s="70" t="s">
        <v>4</v>
      </c>
      <c r="H67" s="70" t="s">
        <v>93</v>
      </c>
      <c r="I67" s="70" t="s">
        <v>149</v>
      </c>
      <c r="J67" s="5">
        <v>2025</v>
      </c>
      <c r="K67" s="67">
        <v>100</v>
      </c>
      <c r="L67" s="68">
        <v>2</v>
      </c>
      <c r="M67" s="66">
        <f>($K67*$D67)/$L67</f>
        <v>6150</v>
      </c>
      <c r="N67" s="66">
        <f>($K67*$D67)/$L67</f>
        <v>6150</v>
      </c>
      <c r="O67" s="66"/>
      <c r="P67" s="66"/>
      <c r="Q67" s="66"/>
      <c r="R67" s="66"/>
      <c r="S67" s="66"/>
      <c r="T67" s="66"/>
      <c r="U67" s="66"/>
      <c r="V67" s="66"/>
      <c r="W67" s="66"/>
      <c r="X67" s="65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</row>
    <row r="68" spans="1:48" ht="16.5" customHeight="1" x14ac:dyDescent="0.35">
      <c r="A68" s="107" t="s">
        <v>84</v>
      </c>
      <c r="B68" s="69" t="s">
        <v>125</v>
      </c>
      <c r="C68" s="71" t="s">
        <v>217</v>
      </c>
      <c r="D68" s="83">
        <v>44</v>
      </c>
      <c r="E68" s="72" t="s">
        <v>98</v>
      </c>
      <c r="F68" s="70" t="s">
        <v>85</v>
      </c>
      <c r="G68" s="70" t="s">
        <v>4</v>
      </c>
      <c r="H68" s="70" t="s">
        <v>93</v>
      </c>
      <c r="I68" s="70" t="s">
        <v>149</v>
      </c>
      <c r="J68" s="5">
        <v>2025</v>
      </c>
      <c r="K68" s="67">
        <v>100</v>
      </c>
      <c r="L68" s="68">
        <v>2</v>
      </c>
      <c r="M68" s="66"/>
      <c r="N68" s="66">
        <f>($K68*$D68)/$L68</f>
        <v>2200</v>
      </c>
      <c r="O68" s="66">
        <f>($K68*$D68)/$L68</f>
        <v>2200</v>
      </c>
      <c r="P68" s="66"/>
      <c r="Q68" s="66"/>
      <c r="R68" s="66"/>
      <c r="S68" s="66"/>
      <c r="T68" s="66"/>
      <c r="U68" s="66"/>
      <c r="V68" s="66"/>
      <c r="W68" s="66"/>
      <c r="X68" s="65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</row>
    <row r="69" spans="1:48" ht="16.5" customHeight="1" x14ac:dyDescent="0.35">
      <c r="A69" s="107" t="s">
        <v>84</v>
      </c>
      <c r="B69" s="69" t="s">
        <v>125</v>
      </c>
      <c r="C69" s="71" t="s">
        <v>218</v>
      </c>
      <c r="D69" s="83">
        <v>88</v>
      </c>
      <c r="E69" s="72" t="s">
        <v>79</v>
      </c>
      <c r="F69" s="70" t="s">
        <v>85</v>
      </c>
      <c r="G69" s="70" t="s">
        <v>4</v>
      </c>
      <c r="H69" s="70" t="s">
        <v>93</v>
      </c>
      <c r="I69" s="70" t="s">
        <v>149</v>
      </c>
      <c r="J69" s="5">
        <v>2025</v>
      </c>
      <c r="K69" s="67">
        <v>20</v>
      </c>
      <c r="L69" s="68">
        <v>2</v>
      </c>
      <c r="M69" s="66"/>
      <c r="N69" s="66"/>
      <c r="O69" s="66"/>
      <c r="P69" s="66"/>
      <c r="Q69" s="66"/>
      <c r="R69" s="66">
        <f>($K69*$D69)/$L69</f>
        <v>880</v>
      </c>
      <c r="S69" s="66">
        <f>($K69*$D69)/$L69</f>
        <v>880</v>
      </c>
      <c r="T69" s="66"/>
      <c r="U69" s="66"/>
      <c r="V69" s="66"/>
      <c r="W69" s="66"/>
      <c r="X69" s="65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</row>
    <row r="70" spans="1:48" ht="16.5" customHeight="1" x14ac:dyDescent="0.35">
      <c r="A70" s="107" t="s">
        <v>84</v>
      </c>
      <c r="B70" s="69" t="s">
        <v>125</v>
      </c>
      <c r="C70" s="71" t="s">
        <v>219</v>
      </c>
      <c r="D70" s="83">
        <v>36</v>
      </c>
      <c r="E70" s="72" t="s">
        <v>86</v>
      </c>
      <c r="F70" s="70" t="s">
        <v>78</v>
      </c>
      <c r="G70" s="70" t="s">
        <v>4</v>
      </c>
      <c r="H70" s="70" t="s">
        <v>93</v>
      </c>
      <c r="I70" s="70" t="s">
        <v>149</v>
      </c>
      <c r="J70" s="5">
        <v>2025</v>
      </c>
      <c r="K70" s="67">
        <v>30</v>
      </c>
      <c r="L70" s="68">
        <v>1</v>
      </c>
      <c r="M70" s="66"/>
      <c r="N70" s="66">
        <f>($K70*$D70)/$L70</f>
        <v>1080</v>
      </c>
      <c r="O70" s="66"/>
      <c r="P70" s="66"/>
      <c r="Q70" s="66"/>
      <c r="R70" s="66"/>
      <c r="S70" s="66"/>
      <c r="T70" s="66"/>
      <c r="U70" s="66"/>
      <c r="V70" s="66"/>
      <c r="W70" s="66"/>
      <c r="X70" s="65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</row>
    <row r="71" spans="1:48" ht="16.5" customHeight="1" x14ac:dyDescent="0.35">
      <c r="A71" s="107" t="s">
        <v>84</v>
      </c>
      <c r="B71" s="69" t="s">
        <v>125</v>
      </c>
      <c r="C71" s="71" t="s">
        <v>220</v>
      </c>
      <c r="D71" s="83">
        <v>36</v>
      </c>
      <c r="E71" s="72" t="s">
        <v>98</v>
      </c>
      <c r="F71" s="70" t="s">
        <v>85</v>
      </c>
      <c r="G71" s="70" t="s">
        <v>4</v>
      </c>
      <c r="H71" s="70" t="s">
        <v>93</v>
      </c>
      <c r="I71" s="70" t="s">
        <v>149</v>
      </c>
      <c r="J71" s="5">
        <v>2025</v>
      </c>
      <c r="K71" s="67">
        <v>30</v>
      </c>
      <c r="L71" s="68">
        <v>1</v>
      </c>
      <c r="M71" s="66"/>
      <c r="N71" s="66"/>
      <c r="O71" s="66"/>
      <c r="P71" s="66">
        <f>($K71*$D71)/$L71</f>
        <v>1080</v>
      </c>
      <c r="Q71" s="66"/>
      <c r="R71" s="66"/>
      <c r="S71" s="66"/>
      <c r="T71" s="66"/>
      <c r="U71" s="66"/>
      <c r="V71" s="66"/>
      <c r="W71" s="66"/>
      <c r="X71" s="65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</row>
    <row r="72" spans="1:48" ht="16.5" customHeight="1" x14ac:dyDescent="0.35">
      <c r="A72" s="107" t="s">
        <v>84</v>
      </c>
      <c r="B72" s="69" t="s">
        <v>127</v>
      </c>
      <c r="C72" s="71" t="s">
        <v>221</v>
      </c>
      <c r="D72" s="83">
        <v>2</v>
      </c>
      <c r="E72" s="72" t="s">
        <v>79</v>
      </c>
      <c r="F72" s="70" t="s">
        <v>78</v>
      </c>
      <c r="G72" s="70" t="s">
        <v>4</v>
      </c>
      <c r="H72" s="70" t="s">
        <v>93</v>
      </c>
      <c r="I72" s="70" t="s">
        <v>149</v>
      </c>
      <c r="J72" s="5">
        <v>2025</v>
      </c>
      <c r="K72" s="67">
        <v>300</v>
      </c>
      <c r="L72" s="68">
        <v>1</v>
      </c>
      <c r="M72" s="66"/>
      <c r="N72" s="65">
        <f>($K72*$D72)/$L72</f>
        <v>600</v>
      </c>
      <c r="O72" s="66"/>
      <c r="P72" s="66"/>
      <c r="Q72" s="66"/>
      <c r="R72" s="66"/>
      <c r="S72" s="66"/>
      <c r="T72" s="66"/>
      <c r="U72" s="66"/>
      <c r="V72" s="66"/>
      <c r="W72" s="66"/>
      <c r="X72" s="65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</row>
    <row r="73" spans="1:48" ht="16.5" customHeight="1" x14ac:dyDescent="0.35">
      <c r="A73" s="107" t="s">
        <v>84</v>
      </c>
      <c r="B73" s="69" t="s">
        <v>127</v>
      </c>
      <c r="C73" s="71" t="s">
        <v>222</v>
      </c>
      <c r="D73" s="83">
        <v>36</v>
      </c>
      <c r="E73" s="72" t="s">
        <v>98</v>
      </c>
      <c r="F73" s="70" t="s">
        <v>85</v>
      </c>
      <c r="G73" s="70" t="s">
        <v>4</v>
      </c>
      <c r="H73" s="70" t="s">
        <v>93</v>
      </c>
      <c r="I73" s="70" t="s">
        <v>149</v>
      </c>
      <c r="J73" s="5">
        <v>2025</v>
      </c>
      <c r="K73" s="67">
        <v>20</v>
      </c>
      <c r="L73" s="68">
        <v>2</v>
      </c>
      <c r="M73" s="66"/>
      <c r="N73" s="66"/>
      <c r="O73" s="66"/>
      <c r="P73" s="66"/>
      <c r="Q73" s="66"/>
      <c r="R73" s="66"/>
      <c r="S73" s="65"/>
      <c r="T73" s="65"/>
      <c r="U73" s="65">
        <f>($K73*$D73)/$L73</f>
        <v>360</v>
      </c>
      <c r="V73" s="65">
        <v>180</v>
      </c>
      <c r="W73" s="65">
        <v>180</v>
      </c>
      <c r="X73" s="65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</row>
    <row r="74" spans="1:48" ht="16.5" customHeight="1" x14ac:dyDescent="0.35">
      <c r="A74" s="107" t="s">
        <v>77</v>
      </c>
      <c r="B74" s="69" t="s">
        <v>135</v>
      </c>
      <c r="C74" s="71" t="s">
        <v>404</v>
      </c>
      <c r="D74" s="83">
        <v>1</v>
      </c>
      <c r="E74" s="72" t="s">
        <v>72</v>
      </c>
      <c r="F74" s="70" t="s">
        <v>78</v>
      </c>
      <c r="G74" s="70" t="s">
        <v>4</v>
      </c>
      <c r="H74" s="70" t="s">
        <v>87</v>
      </c>
      <c r="I74" s="70" t="s">
        <v>149</v>
      </c>
      <c r="J74" s="5">
        <v>2026</v>
      </c>
      <c r="K74" s="67">
        <v>160</v>
      </c>
      <c r="L74" s="68">
        <v>1</v>
      </c>
      <c r="M74" s="66"/>
      <c r="N74" s="66"/>
      <c r="O74" s="66"/>
      <c r="P74" s="66"/>
      <c r="Q74" s="66"/>
      <c r="R74" s="66"/>
      <c r="S74" s="65"/>
      <c r="T74" s="65"/>
      <c r="U74" s="65"/>
      <c r="V74" s="65"/>
      <c r="W74" s="65"/>
      <c r="X74" s="65"/>
      <c r="Y74" s="65"/>
      <c r="Z74" s="65">
        <f>($K74*$D74)/$L74</f>
        <v>160</v>
      </c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</row>
    <row r="75" spans="1:48" ht="16.5" customHeight="1" x14ac:dyDescent="0.35">
      <c r="A75" s="107" t="s">
        <v>77</v>
      </c>
      <c r="B75" s="69" t="s">
        <v>135</v>
      </c>
      <c r="C75" s="71" t="s">
        <v>404</v>
      </c>
      <c r="D75" s="83">
        <v>1</v>
      </c>
      <c r="E75" s="72" t="s">
        <v>79</v>
      </c>
      <c r="F75" s="70" t="s">
        <v>78</v>
      </c>
      <c r="G75" s="70" t="s">
        <v>8</v>
      </c>
      <c r="H75" s="70" t="s">
        <v>73</v>
      </c>
      <c r="I75" s="70" t="s">
        <v>153</v>
      </c>
      <c r="J75" s="5">
        <v>2026</v>
      </c>
      <c r="K75" s="67">
        <v>600</v>
      </c>
      <c r="L75" s="68">
        <v>2</v>
      </c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5"/>
      <c r="Y75" s="65"/>
      <c r="Z75" s="65"/>
      <c r="AA75" s="65"/>
      <c r="AB75" s="65">
        <f>($K75*$D75)/$L75</f>
        <v>300</v>
      </c>
      <c r="AC75" s="65">
        <f>($K75*$D75)/$L75</f>
        <v>300</v>
      </c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</row>
    <row r="76" spans="1:48" ht="16.5" customHeight="1" x14ac:dyDescent="0.35">
      <c r="A76" s="107" t="s">
        <v>77</v>
      </c>
      <c r="B76" s="69" t="s">
        <v>135</v>
      </c>
      <c r="C76" s="71" t="s">
        <v>404</v>
      </c>
      <c r="D76" s="83">
        <v>1</v>
      </c>
      <c r="E76" s="72" t="s">
        <v>86</v>
      </c>
      <c r="F76" s="70" t="s">
        <v>78</v>
      </c>
      <c r="G76" s="70" t="s">
        <v>8</v>
      </c>
      <c r="H76" s="70" t="s">
        <v>73</v>
      </c>
      <c r="I76" s="70" t="s">
        <v>159</v>
      </c>
      <c r="J76" s="5">
        <v>2026</v>
      </c>
      <c r="K76" s="67">
        <v>208</v>
      </c>
      <c r="L76" s="68">
        <v>1</v>
      </c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5"/>
      <c r="Y76" s="65"/>
      <c r="Z76" s="65"/>
      <c r="AA76" s="65"/>
      <c r="AB76" s="65"/>
      <c r="AC76" s="65"/>
      <c r="AD76" s="65"/>
      <c r="AE76" s="65">
        <f>($K76*$D76)/$L76</f>
        <v>208</v>
      </c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</row>
    <row r="77" spans="1:48" ht="16.5" customHeight="1" x14ac:dyDescent="0.35">
      <c r="A77" s="107" t="s">
        <v>77</v>
      </c>
      <c r="B77" s="69" t="s">
        <v>135</v>
      </c>
      <c r="C77" s="71" t="s">
        <v>405</v>
      </c>
      <c r="D77" s="83">
        <v>1</v>
      </c>
      <c r="E77" s="72" t="s">
        <v>72</v>
      </c>
      <c r="F77" s="70" t="s">
        <v>78</v>
      </c>
      <c r="G77" s="70" t="s">
        <v>4</v>
      </c>
      <c r="H77" s="70" t="s">
        <v>80</v>
      </c>
      <c r="I77" s="70" t="s">
        <v>151</v>
      </c>
      <c r="J77" s="5">
        <v>2026</v>
      </c>
      <c r="K77" s="67">
        <v>160</v>
      </c>
      <c r="L77" s="68">
        <v>1</v>
      </c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5"/>
      <c r="Y77" s="65"/>
      <c r="Z77" s="65"/>
      <c r="AA77" s="65">
        <f>($K77*$D77)/$L77</f>
        <v>160</v>
      </c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</row>
    <row r="78" spans="1:48" ht="16.5" customHeight="1" x14ac:dyDescent="0.35">
      <c r="A78" s="107" t="s">
        <v>77</v>
      </c>
      <c r="B78" s="69" t="s">
        <v>135</v>
      </c>
      <c r="C78" s="71" t="s">
        <v>405</v>
      </c>
      <c r="D78" s="83">
        <v>1</v>
      </c>
      <c r="E78" s="72" t="s">
        <v>79</v>
      </c>
      <c r="F78" s="70" t="s">
        <v>78</v>
      </c>
      <c r="G78" s="70" t="s">
        <v>8</v>
      </c>
      <c r="H78" s="70" t="s">
        <v>73</v>
      </c>
      <c r="I78" s="70" t="s">
        <v>155</v>
      </c>
      <c r="J78" s="5">
        <v>2026</v>
      </c>
      <c r="K78" s="67">
        <v>600</v>
      </c>
      <c r="L78" s="68">
        <v>2</v>
      </c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5"/>
      <c r="Y78" s="65"/>
      <c r="Z78" s="65"/>
      <c r="AA78" s="65"/>
      <c r="AB78" s="65"/>
      <c r="AC78" s="65">
        <f>($K78*$D78)/$L78</f>
        <v>300</v>
      </c>
      <c r="AD78" s="65">
        <f>($K78*$D78)/$L78</f>
        <v>300</v>
      </c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</row>
    <row r="79" spans="1:48" ht="16.5" customHeight="1" x14ac:dyDescent="0.35">
      <c r="A79" s="107" t="s">
        <v>77</v>
      </c>
      <c r="B79" s="69" t="s">
        <v>135</v>
      </c>
      <c r="C79" s="71" t="s">
        <v>405</v>
      </c>
      <c r="D79" s="83">
        <v>1</v>
      </c>
      <c r="E79" s="72" t="s">
        <v>86</v>
      </c>
      <c r="F79" s="70" t="s">
        <v>78</v>
      </c>
      <c r="G79" s="70" t="s">
        <v>8</v>
      </c>
      <c r="H79" s="70" t="s">
        <v>73</v>
      </c>
      <c r="I79" s="70" t="s">
        <v>159</v>
      </c>
      <c r="J79" s="5">
        <v>2026</v>
      </c>
      <c r="K79" s="67">
        <v>208</v>
      </c>
      <c r="L79" s="68">
        <v>1</v>
      </c>
      <c r="M79" s="66"/>
      <c r="N79" s="66"/>
      <c r="O79" s="66"/>
      <c r="P79" s="66"/>
      <c r="Q79" s="66"/>
      <c r="R79" s="66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>
        <f>($K79*$D79)/$L79</f>
        <v>208</v>
      </c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</row>
    <row r="80" spans="1:48" ht="16.5" customHeight="1" x14ac:dyDescent="0.35">
      <c r="A80" s="107" t="s">
        <v>97</v>
      </c>
      <c r="B80" s="69" t="s">
        <v>186</v>
      </c>
      <c r="C80" s="71" t="s">
        <v>431</v>
      </c>
      <c r="D80" s="83">
        <v>1</v>
      </c>
      <c r="E80" s="72" t="s">
        <v>86</v>
      </c>
      <c r="F80" s="70" t="s">
        <v>78</v>
      </c>
      <c r="G80" s="70" t="s">
        <v>8</v>
      </c>
      <c r="H80" s="70" t="s">
        <v>73</v>
      </c>
      <c r="I80" s="70" t="s">
        <v>149</v>
      </c>
      <c r="J80" s="5">
        <v>2026</v>
      </c>
      <c r="K80" s="67">
        <v>350</v>
      </c>
      <c r="L80" s="68">
        <v>2</v>
      </c>
      <c r="M80" s="66"/>
      <c r="N80" s="66"/>
      <c r="O80" s="66"/>
      <c r="P80" s="66"/>
      <c r="Q80" s="66"/>
      <c r="R80" s="66"/>
      <c r="S80" s="65"/>
      <c r="T80" s="65"/>
      <c r="U80" s="65"/>
      <c r="V80" s="65"/>
      <c r="W80" s="65"/>
      <c r="X80" s="65"/>
      <c r="Y80" s="65"/>
      <c r="Z80" s="65"/>
      <c r="AA80" s="65">
        <f>($K80*$D80)/$L80</f>
        <v>175</v>
      </c>
      <c r="AB80" s="65">
        <f>($K80*$D80)/$L80</f>
        <v>175</v>
      </c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</row>
    <row r="81" spans="1:48" ht="16.5" customHeight="1" x14ac:dyDescent="0.35">
      <c r="A81" s="107" t="s">
        <v>77</v>
      </c>
      <c r="B81" s="69" t="s">
        <v>135</v>
      </c>
      <c r="C81" s="71" t="s">
        <v>406</v>
      </c>
      <c r="D81" s="83">
        <v>1</v>
      </c>
      <c r="E81" s="72" t="s">
        <v>79</v>
      </c>
      <c r="F81" s="70" t="s">
        <v>78</v>
      </c>
      <c r="G81" s="70" t="s">
        <v>4</v>
      </c>
      <c r="H81" s="70" t="s">
        <v>87</v>
      </c>
      <c r="I81" s="70" t="s">
        <v>146</v>
      </c>
      <c r="J81" s="5">
        <v>2025</v>
      </c>
      <c r="K81" s="67">
        <v>968</v>
      </c>
      <c r="L81" s="68">
        <v>3</v>
      </c>
      <c r="M81" s="66"/>
      <c r="N81" s="66"/>
      <c r="O81" s="66"/>
      <c r="P81" s="66"/>
      <c r="Q81" s="66"/>
      <c r="R81" s="66"/>
      <c r="S81" s="66"/>
      <c r="T81" s="65"/>
      <c r="U81" s="65"/>
      <c r="V81" s="65"/>
      <c r="W81" s="65"/>
      <c r="X81" s="65">
        <f>($K81*$D81)/$L81</f>
        <v>322.66666666666669</v>
      </c>
      <c r="Y81" s="65">
        <v>200</v>
      </c>
      <c r="Z81" s="65">
        <v>200</v>
      </c>
      <c r="AA81" s="65">
        <v>100</v>
      </c>
      <c r="AB81" s="66">
        <v>146</v>
      </c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</row>
    <row r="82" spans="1:48" ht="16.5" customHeight="1" x14ac:dyDescent="0.35">
      <c r="A82" s="107" t="s">
        <v>77</v>
      </c>
      <c r="B82" s="69" t="s">
        <v>135</v>
      </c>
      <c r="C82" s="71" t="s">
        <v>538</v>
      </c>
      <c r="D82" s="83">
        <v>1</v>
      </c>
      <c r="E82" s="72" t="s">
        <v>71</v>
      </c>
      <c r="F82" s="70" t="s">
        <v>71</v>
      </c>
      <c r="G82" s="70" t="s">
        <v>8</v>
      </c>
      <c r="H82" s="70" t="s">
        <v>73</v>
      </c>
      <c r="I82" s="70" t="s">
        <v>151</v>
      </c>
      <c r="J82" s="5">
        <v>2026</v>
      </c>
      <c r="K82" s="67">
        <v>968</v>
      </c>
      <c r="L82" s="68">
        <v>3</v>
      </c>
      <c r="M82" s="66"/>
      <c r="N82" s="66"/>
      <c r="O82" s="66"/>
      <c r="P82" s="66"/>
      <c r="Q82" s="66"/>
      <c r="R82" s="66"/>
      <c r="S82" s="66"/>
      <c r="T82" s="66"/>
      <c r="U82" s="65"/>
      <c r="V82" s="65"/>
      <c r="W82" s="65"/>
      <c r="X82" s="65"/>
      <c r="Y82" s="65"/>
      <c r="Z82" s="65"/>
      <c r="AA82" s="65">
        <f>($K82*$D82)/$L82</f>
        <v>322.66666666666669</v>
      </c>
      <c r="AB82" s="65">
        <f>($K82*$D82)/$L82</f>
        <v>322.66666666666669</v>
      </c>
      <c r="AC82" s="65">
        <f>($K82*$D82)/$L82</f>
        <v>322.66666666666669</v>
      </c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</row>
    <row r="83" spans="1:48" ht="16.5" customHeight="1" x14ac:dyDescent="0.35">
      <c r="A83" s="107" t="s">
        <v>77</v>
      </c>
      <c r="B83" s="69" t="s">
        <v>137</v>
      </c>
      <c r="C83" s="71" t="s">
        <v>420</v>
      </c>
      <c r="D83" s="83">
        <v>1</v>
      </c>
      <c r="E83" s="72" t="s">
        <v>79</v>
      </c>
      <c r="F83" s="70" t="s">
        <v>78</v>
      </c>
      <c r="G83" s="70" t="s">
        <v>4</v>
      </c>
      <c r="H83" s="70" t="s">
        <v>87</v>
      </c>
      <c r="I83" s="70" t="s">
        <v>146</v>
      </c>
      <c r="J83" s="5">
        <v>2025</v>
      </c>
      <c r="K83" s="67">
        <v>997</v>
      </c>
      <c r="L83" s="68">
        <v>4</v>
      </c>
      <c r="M83" s="66"/>
      <c r="N83" s="66"/>
      <c r="O83" s="66"/>
      <c r="P83" s="66"/>
      <c r="Q83" s="66"/>
      <c r="R83" s="66"/>
      <c r="S83" s="66"/>
      <c r="T83" s="66"/>
      <c r="U83" s="66"/>
      <c r="V83" s="65"/>
      <c r="W83" s="65">
        <f>($K83*$D83)/$L83</f>
        <v>249.25</v>
      </c>
      <c r="X83" s="65">
        <f>($K83*$D83)/$L83</f>
        <v>249.25</v>
      </c>
      <c r="Y83" s="65">
        <v>180</v>
      </c>
      <c r="Z83" s="65">
        <v>180</v>
      </c>
      <c r="AA83" s="65">
        <v>138</v>
      </c>
      <c r="AB83" s="66">
        <v>140</v>
      </c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</row>
    <row r="84" spans="1:48" ht="16.5" customHeight="1" x14ac:dyDescent="0.35">
      <c r="A84" s="107" t="s">
        <v>77</v>
      </c>
      <c r="B84" s="69" t="s">
        <v>139</v>
      </c>
      <c r="C84" s="71" t="s">
        <v>472</v>
      </c>
      <c r="D84" s="83">
        <v>1</v>
      </c>
      <c r="E84" s="72" t="s">
        <v>71</v>
      </c>
      <c r="F84" s="70" t="s">
        <v>71</v>
      </c>
      <c r="G84" s="70" t="s">
        <v>4</v>
      </c>
      <c r="H84" s="70" t="s">
        <v>93</v>
      </c>
      <c r="I84" s="70" t="s">
        <v>149</v>
      </c>
      <c r="J84" s="5">
        <v>2025</v>
      </c>
      <c r="K84" s="67">
        <v>1090</v>
      </c>
      <c r="L84" s="68">
        <v>9</v>
      </c>
      <c r="M84" s="65">
        <v>105.71428571428571</v>
      </c>
      <c r="N84" s="65">
        <v>105.71428571428571</v>
      </c>
      <c r="O84" s="65">
        <v>105.71428571428571</v>
      </c>
      <c r="P84" s="65">
        <v>105.71428571428571</v>
      </c>
      <c r="Q84" s="65">
        <v>105.71428571428571</v>
      </c>
      <c r="R84" s="65">
        <v>105.71428571428571</v>
      </c>
      <c r="S84" s="65">
        <v>105.71428571428571</v>
      </c>
      <c r="T84" s="66">
        <v>150</v>
      </c>
      <c r="U84" s="66">
        <v>200</v>
      </c>
      <c r="V84" s="66"/>
      <c r="W84" s="66"/>
      <c r="X84" s="65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</row>
    <row r="85" spans="1:48" ht="16.5" customHeight="1" x14ac:dyDescent="0.35">
      <c r="A85" s="107" t="s">
        <v>77</v>
      </c>
      <c r="B85" s="69" t="s">
        <v>139</v>
      </c>
      <c r="C85" s="71" t="s">
        <v>432</v>
      </c>
      <c r="D85" s="83">
        <v>1</v>
      </c>
      <c r="E85" s="72" t="s">
        <v>71</v>
      </c>
      <c r="F85" s="70" t="s">
        <v>71</v>
      </c>
      <c r="G85" s="70" t="s">
        <v>8</v>
      </c>
      <c r="H85" s="70" t="s">
        <v>73</v>
      </c>
      <c r="I85" s="70" t="s">
        <v>155</v>
      </c>
      <c r="J85" s="5">
        <v>2026</v>
      </c>
      <c r="K85" s="67">
        <v>704</v>
      </c>
      <c r="L85" s="68">
        <v>3</v>
      </c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5"/>
      <c r="X85" s="65"/>
      <c r="Y85" s="65"/>
      <c r="Z85" s="65"/>
      <c r="AA85" s="65"/>
      <c r="AB85" s="65"/>
      <c r="AC85" s="65">
        <f>($K85*$D85)/$L85</f>
        <v>234.66666666666666</v>
      </c>
      <c r="AD85" s="65">
        <f>($K85*$D85)/$L85</f>
        <v>234.66666666666666</v>
      </c>
      <c r="AE85" s="65">
        <f>($K85*$D85)/$L85</f>
        <v>234.66666666666666</v>
      </c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</row>
    <row r="86" spans="1:48" ht="16.5" customHeight="1" x14ac:dyDescent="0.35">
      <c r="A86" s="107" t="s">
        <v>77</v>
      </c>
      <c r="B86" s="69" t="s">
        <v>143</v>
      </c>
      <c r="C86" s="71" t="s">
        <v>436</v>
      </c>
      <c r="D86" s="83">
        <v>1</v>
      </c>
      <c r="E86" s="72" t="s">
        <v>71</v>
      </c>
      <c r="F86" s="70" t="s">
        <v>71</v>
      </c>
      <c r="G86" s="70" t="s">
        <v>4</v>
      </c>
      <c r="H86" s="70" t="s">
        <v>93</v>
      </c>
      <c r="I86" s="70" t="s">
        <v>149</v>
      </c>
      <c r="J86" s="5">
        <v>2025</v>
      </c>
      <c r="K86" s="67">
        <v>1808</v>
      </c>
      <c r="L86" s="68">
        <v>8</v>
      </c>
      <c r="M86" s="66"/>
      <c r="N86" s="65">
        <v>234.66666666666666</v>
      </c>
      <c r="O86" s="65">
        <v>234.66666666666666</v>
      </c>
      <c r="P86" s="65">
        <v>234.66666666666666</v>
      </c>
      <c r="Q86" s="65">
        <v>234.66666666666666</v>
      </c>
      <c r="R86" s="65">
        <v>234.66666666666666</v>
      </c>
      <c r="S86" s="65">
        <v>234.66666666666666</v>
      </c>
      <c r="T86" s="66">
        <v>100</v>
      </c>
      <c r="U86" s="66">
        <v>300</v>
      </c>
      <c r="V86" s="66"/>
      <c r="W86" s="66"/>
      <c r="X86" s="65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</row>
    <row r="87" spans="1:48" ht="16.5" customHeight="1" x14ac:dyDescent="0.35">
      <c r="A87" s="107" t="s">
        <v>77</v>
      </c>
      <c r="B87" s="69" t="s">
        <v>143</v>
      </c>
      <c r="C87" s="71" t="s">
        <v>407</v>
      </c>
      <c r="D87" s="83">
        <v>1</v>
      </c>
      <c r="E87" s="72" t="s">
        <v>71</v>
      </c>
      <c r="F87" s="70" t="s">
        <v>71</v>
      </c>
      <c r="G87" s="70" t="s">
        <v>8</v>
      </c>
      <c r="H87" s="70" t="s">
        <v>73</v>
      </c>
      <c r="I87" s="70" t="s">
        <v>155</v>
      </c>
      <c r="J87" s="5">
        <v>2026</v>
      </c>
      <c r="K87" s="67">
        <v>704</v>
      </c>
      <c r="L87" s="68">
        <v>3</v>
      </c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5"/>
      <c r="X87" s="65"/>
      <c r="Y87" s="65"/>
      <c r="Z87" s="65"/>
      <c r="AA87" s="65"/>
      <c r="AB87" s="65"/>
      <c r="AC87" s="65">
        <f>($K87*$D87)/$L87</f>
        <v>234.66666666666666</v>
      </c>
      <c r="AD87" s="65">
        <f>($K87*$D87)/$L87</f>
        <v>234.66666666666666</v>
      </c>
      <c r="AE87" s="65">
        <f>($K87*$D87)/$L87</f>
        <v>234.66666666666666</v>
      </c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</row>
    <row r="88" spans="1:48" ht="16.5" customHeight="1" x14ac:dyDescent="0.35">
      <c r="A88" s="107" t="s">
        <v>77</v>
      </c>
      <c r="B88" s="69" t="s">
        <v>145</v>
      </c>
      <c r="C88" s="71" t="s">
        <v>223</v>
      </c>
      <c r="D88" s="83">
        <v>2</v>
      </c>
      <c r="E88" s="72" t="s">
        <v>71</v>
      </c>
      <c r="F88" s="70" t="s">
        <v>71</v>
      </c>
      <c r="G88" s="70" t="s">
        <v>4</v>
      </c>
      <c r="H88" s="70" t="s">
        <v>93</v>
      </c>
      <c r="I88" s="70" t="s">
        <v>149</v>
      </c>
      <c r="J88" s="5">
        <v>2025</v>
      </c>
      <c r="K88" s="67">
        <v>66</v>
      </c>
      <c r="L88" s="68">
        <v>1</v>
      </c>
      <c r="M88" s="66"/>
      <c r="N88" s="66"/>
      <c r="O88" s="65">
        <f>($K88*$D88)/$L88</f>
        <v>132</v>
      </c>
      <c r="P88" s="66"/>
      <c r="Q88" s="66"/>
      <c r="R88" s="66"/>
      <c r="S88" s="66"/>
      <c r="T88" s="66"/>
      <c r="U88" s="66"/>
      <c r="V88" s="66"/>
      <c r="W88" s="66"/>
      <c r="X88" s="65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</row>
    <row r="89" spans="1:48" ht="16.5" customHeight="1" x14ac:dyDescent="0.35">
      <c r="A89" s="107" t="s">
        <v>77</v>
      </c>
      <c r="B89" s="69" t="s">
        <v>188</v>
      </c>
      <c r="C89" s="71" t="s">
        <v>408</v>
      </c>
      <c r="D89" s="83">
        <v>1</v>
      </c>
      <c r="E89" s="72" t="s">
        <v>72</v>
      </c>
      <c r="F89" s="70" t="s">
        <v>78</v>
      </c>
      <c r="G89" s="70" t="s">
        <v>8</v>
      </c>
      <c r="H89" s="70" t="s">
        <v>73</v>
      </c>
      <c r="I89" s="70" t="s">
        <v>151</v>
      </c>
      <c r="J89" s="5">
        <v>2026</v>
      </c>
      <c r="K89" s="67">
        <v>98</v>
      </c>
      <c r="L89" s="68">
        <v>1</v>
      </c>
      <c r="M89" s="66"/>
      <c r="N89" s="66"/>
      <c r="O89" s="66"/>
      <c r="P89" s="66"/>
      <c r="Q89" s="66"/>
      <c r="R89" s="66"/>
      <c r="S89" s="65"/>
      <c r="T89" s="66"/>
      <c r="U89" s="65"/>
      <c r="V89" s="66"/>
      <c r="W89" s="65"/>
      <c r="X89" s="65"/>
      <c r="Y89" s="66"/>
      <c r="Z89" s="66"/>
      <c r="AA89" s="66">
        <f>($K89*$D89)/$L89</f>
        <v>98</v>
      </c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</row>
    <row r="90" spans="1:48" ht="16.5" customHeight="1" x14ac:dyDescent="0.35">
      <c r="A90" s="107" t="s">
        <v>77</v>
      </c>
      <c r="B90" s="69" t="s">
        <v>145</v>
      </c>
      <c r="C90" s="71" t="s">
        <v>225</v>
      </c>
      <c r="D90" s="83">
        <v>8</v>
      </c>
      <c r="E90" s="72" t="s">
        <v>72</v>
      </c>
      <c r="F90" s="70" t="s">
        <v>78</v>
      </c>
      <c r="G90" s="70" t="s">
        <v>4</v>
      </c>
      <c r="H90" s="70" t="s">
        <v>93</v>
      </c>
      <c r="I90" s="70" t="s">
        <v>149</v>
      </c>
      <c r="J90" s="5">
        <v>2025</v>
      </c>
      <c r="K90" s="67">
        <v>20</v>
      </c>
      <c r="L90" s="68">
        <v>1</v>
      </c>
      <c r="M90" s="66"/>
      <c r="N90" s="66"/>
      <c r="O90" s="66"/>
      <c r="P90" s="66"/>
      <c r="Q90" s="66"/>
      <c r="R90" s="65">
        <f>($K90*$D90)/$L90</f>
        <v>160</v>
      </c>
      <c r="S90" s="66"/>
      <c r="T90" s="66"/>
      <c r="U90" s="66"/>
      <c r="V90" s="66"/>
      <c r="W90" s="66"/>
      <c r="X90" s="65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</row>
    <row r="91" spans="1:48" ht="16.5" customHeight="1" x14ac:dyDescent="0.35">
      <c r="A91" s="107" t="s">
        <v>77</v>
      </c>
      <c r="B91" s="69" t="s">
        <v>145</v>
      </c>
      <c r="C91" s="71" t="s">
        <v>225</v>
      </c>
      <c r="D91" s="83">
        <v>8</v>
      </c>
      <c r="E91" s="72" t="s">
        <v>79</v>
      </c>
      <c r="F91" s="70" t="s">
        <v>78</v>
      </c>
      <c r="G91" s="70" t="s">
        <v>4</v>
      </c>
      <c r="H91" s="70" t="s">
        <v>93</v>
      </c>
      <c r="I91" s="70" t="s">
        <v>149</v>
      </c>
      <c r="J91" s="5">
        <v>2025</v>
      </c>
      <c r="K91" s="67">
        <v>20</v>
      </c>
      <c r="L91" s="68">
        <v>1</v>
      </c>
      <c r="M91" s="66"/>
      <c r="N91" s="66"/>
      <c r="O91" s="66"/>
      <c r="P91" s="66"/>
      <c r="Q91" s="66"/>
      <c r="R91" s="66"/>
      <c r="S91" s="65">
        <f>($K91*$D91)/$L91</f>
        <v>160</v>
      </c>
      <c r="T91" s="66"/>
      <c r="U91" s="66"/>
      <c r="V91" s="66"/>
      <c r="W91" s="66"/>
      <c r="X91" s="65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</row>
    <row r="92" spans="1:48" ht="16.5" customHeight="1" x14ac:dyDescent="0.35">
      <c r="A92" s="107" t="s">
        <v>77</v>
      </c>
      <c r="B92" s="69" t="s">
        <v>145</v>
      </c>
      <c r="C92" s="71" t="s">
        <v>224</v>
      </c>
      <c r="D92" s="83">
        <v>4</v>
      </c>
      <c r="E92" s="72" t="s">
        <v>72</v>
      </c>
      <c r="F92" s="70" t="s">
        <v>78</v>
      </c>
      <c r="G92" s="70" t="s">
        <v>4</v>
      </c>
      <c r="H92" s="70" t="s">
        <v>93</v>
      </c>
      <c r="I92" s="70" t="s">
        <v>149</v>
      </c>
      <c r="J92" s="5">
        <v>2025</v>
      </c>
      <c r="K92" s="67">
        <v>20</v>
      </c>
      <c r="L92" s="68">
        <v>1</v>
      </c>
      <c r="M92" s="66"/>
      <c r="N92" s="66"/>
      <c r="O92" s="66"/>
      <c r="P92" s="66"/>
      <c r="Q92" s="66"/>
      <c r="R92" s="66">
        <f>($K92*$D92)/$L92</f>
        <v>80</v>
      </c>
      <c r="S92" s="66"/>
      <c r="T92" s="66"/>
      <c r="U92" s="66"/>
      <c r="V92" s="66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</row>
    <row r="93" spans="1:48" ht="16.5" customHeight="1" x14ac:dyDescent="0.35">
      <c r="A93" s="107" t="s">
        <v>77</v>
      </c>
      <c r="B93" s="69" t="s">
        <v>145</v>
      </c>
      <c r="C93" s="71" t="s">
        <v>224</v>
      </c>
      <c r="D93" s="83">
        <v>4</v>
      </c>
      <c r="E93" s="72" t="s">
        <v>79</v>
      </c>
      <c r="F93" s="70" t="s">
        <v>78</v>
      </c>
      <c r="G93" s="70" t="s">
        <v>4</v>
      </c>
      <c r="H93" s="70" t="s">
        <v>93</v>
      </c>
      <c r="I93" s="70" t="s">
        <v>149</v>
      </c>
      <c r="J93" s="5">
        <v>2025</v>
      </c>
      <c r="K93" s="67">
        <v>20</v>
      </c>
      <c r="L93" s="68">
        <v>1</v>
      </c>
      <c r="M93" s="66"/>
      <c r="N93" s="66"/>
      <c r="O93" s="66"/>
      <c r="P93" s="66"/>
      <c r="Q93" s="66"/>
      <c r="R93" s="66"/>
      <c r="S93" s="65"/>
      <c r="T93" s="65"/>
      <c r="U93" s="65">
        <f>($K93*$D93)/$L93</f>
        <v>80</v>
      </c>
      <c r="V93" s="66"/>
      <c r="W93" s="65"/>
      <c r="X93" s="65"/>
      <c r="Y93" s="66"/>
      <c r="Z93" s="65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</row>
    <row r="94" spans="1:48" ht="16.5" customHeight="1" x14ac:dyDescent="0.35">
      <c r="A94" s="107" t="s">
        <v>97</v>
      </c>
      <c r="B94" s="69" t="s">
        <v>92</v>
      </c>
      <c r="C94" s="71" t="s">
        <v>227</v>
      </c>
      <c r="D94" s="83">
        <v>4</v>
      </c>
      <c r="E94" s="72" t="s">
        <v>91</v>
      </c>
      <c r="F94" s="70" t="s">
        <v>92</v>
      </c>
      <c r="G94" s="70" t="s">
        <v>4</v>
      </c>
      <c r="H94" s="70" t="s">
        <v>93</v>
      </c>
      <c r="I94" s="70" t="s">
        <v>149</v>
      </c>
      <c r="J94" s="5">
        <v>2025</v>
      </c>
      <c r="K94" s="67">
        <v>110</v>
      </c>
      <c r="L94" s="68">
        <v>1</v>
      </c>
      <c r="M94" s="65">
        <f>($K94*$D94)/$L94</f>
        <v>440</v>
      </c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5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</row>
    <row r="95" spans="1:48" ht="16.5" customHeight="1" x14ac:dyDescent="0.35">
      <c r="A95" s="107" t="s">
        <v>97</v>
      </c>
      <c r="B95" s="69" t="s">
        <v>92</v>
      </c>
      <c r="C95" s="71" t="s">
        <v>228</v>
      </c>
      <c r="D95" s="83">
        <v>4</v>
      </c>
      <c r="E95" s="72" t="s">
        <v>91</v>
      </c>
      <c r="F95" s="70" t="s">
        <v>92</v>
      </c>
      <c r="G95" s="70" t="s">
        <v>4</v>
      </c>
      <c r="H95" s="70" t="s">
        <v>93</v>
      </c>
      <c r="I95" s="70" t="s">
        <v>149</v>
      </c>
      <c r="J95" s="5">
        <v>2025</v>
      </c>
      <c r="K95" s="67">
        <v>110</v>
      </c>
      <c r="L95" s="68">
        <v>1</v>
      </c>
      <c r="M95" s="66"/>
      <c r="N95" s="65">
        <f>($K95*$D95)/$L95</f>
        <v>440</v>
      </c>
      <c r="O95" s="66"/>
      <c r="P95" s="66"/>
      <c r="Q95" s="66"/>
      <c r="R95" s="66"/>
      <c r="S95" s="66"/>
      <c r="T95" s="66"/>
      <c r="U95" s="66"/>
      <c r="V95" s="66"/>
      <c r="W95" s="66"/>
      <c r="X95" s="65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</row>
    <row r="96" spans="1:48" ht="16.5" customHeight="1" x14ac:dyDescent="0.35">
      <c r="A96" s="107" t="s">
        <v>97</v>
      </c>
      <c r="B96" s="69" t="s">
        <v>92</v>
      </c>
      <c r="C96" s="71" t="s">
        <v>229</v>
      </c>
      <c r="D96" s="83">
        <v>4</v>
      </c>
      <c r="E96" s="72" t="s">
        <v>91</v>
      </c>
      <c r="F96" s="70" t="s">
        <v>92</v>
      </c>
      <c r="G96" s="70" t="s">
        <v>4</v>
      </c>
      <c r="H96" s="70" t="s">
        <v>93</v>
      </c>
      <c r="I96" s="70" t="s">
        <v>149</v>
      </c>
      <c r="J96" s="5">
        <v>2025</v>
      </c>
      <c r="K96" s="67">
        <v>110</v>
      </c>
      <c r="L96" s="68">
        <v>1</v>
      </c>
      <c r="M96" s="66"/>
      <c r="N96" s="66"/>
      <c r="O96" s="65">
        <f>($K96*$D96)/$L96</f>
        <v>440</v>
      </c>
      <c r="P96" s="66"/>
      <c r="Q96" s="66"/>
      <c r="R96" s="66"/>
      <c r="S96" s="66"/>
      <c r="T96" s="66"/>
      <c r="U96" s="66"/>
      <c r="V96" s="66"/>
      <c r="W96" s="66"/>
      <c r="X96" s="65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</row>
    <row r="97" spans="1:48" ht="16.5" customHeight="1" x14ac:dyDescent="0.35">
      <c r="A97" s="107" t="s">
        <v>97</v>
      </c>
      <c r="B97" s="69" t="s">
        <v>92</v>
      </c>
      <c r="C97" s="71" t="s">
        <v>230</v>
      </c>
      <c r="D97" s="83">
        <v>8</v>
      </c>
      <c r="E97" s="72" t="s">
        <v>91</v>
      </c>
      <c r="F97" s="70" t="s">
        <v>92</v>
      </c>
      <c r="G97" s="70" t="s">
        <v>4</v>
      </c>
      <c r="H97" s="70" t="s">
        <v>93</v>
      </c>
      <c r="I97" s="70" t="s">
        <v>149</v>
      </c>
      <c r="J97" s="5">
        <v>2025</v>
      </c>
      <c r="K97" s="67">
        <v>110</v>
      </c>
      <c r="L97" s="68">
        <v>1</v>
      </c>
      <c r="M97" s="66"/>
      <c r="N97" s="66"/>
      <c r="O97" s="66"/>
      <c r="P97" s="65">
        <f>($K97*$D97)/$L97</f>
        <v>880</v>
      </c>
      <c r="Q97" s="66"/>
      <c r="R97" s="66"/>
      <c r="S97" s="66"/>
      <c r="T97" s="66"/>
      <c r="U97" s="66"/>
      <c r="V97" s="66"/>
      <c r="W97" s="66"/>
      <c r="X97" s="65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</row>
    <row r="98" spans="1:48" ht="16.5" customHeight="1" x14ac:dyDescent="0.35">
      <c r="A98" s="107" t="s">
        <v>97</v>
      </c>
      <c r="B98" s="69" t="s">
        <v>92</v>
      </c>
      <c r="C98" s="71" t="s">
        <v>231</v>
      </c>
      <c r="D98" s="83">
        <v>8</v>
      </c>
      <c r="E98" s="72" t="s">
        <v>91</v>
      </c>
      <c r="F98" s="70" t="s">
        <v>92</v>
      </c>
      <c r="G98" s="70" t="s">
        <v>4</v>
      </c>
      <c r="H98" s="70" t="s">
        <v>93</v>
      </c>
      <c r="I98" s="70" t="s">
        <v>149</v>
      </c>
      <c r="J98" s="5">
        <v>2025</v>
      </c>
      <c r="K98" s="67">
        <v>110</v>
      </c>
      <c r="L98" s="68">
        <v>1</v>
      </c>
      <c r="M98" s="66"/>
      <c r="N98" s="66"/>
      <c r="O98" s="66"/>
      <c r="P98" s="66"/>
      <c r="Q98" s="65">
        <f>($K98*$D98)/$L98</f>
        <v>880</v>
      </c>
      <c r="R98" s="66"/>
      <c r="S98" s="66"/>
      <c r="T98" s="66"/>
      <c r="U98" s="66"/>
      <c r="V98" s="66"/>
      <c r="W98" s="66"/>
      <c r="X98" s="65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</row>
    <row r="99" spans="1:48" ht="16.5" customHeight="1" x14ac:dyDescent="0.35">
      <c r="A99" s="107" t="s">
        <v>97</v>
      </c>
      <c r="B99" s="69" t="s">
        <v>92</v>
      </c>
      <c r="C99" s="71" t="s">
        <v>232</v>
      </c>
      <c r="D99" s="83">
        <v>4</v>
      </c>
      <c r="E99" s="72" t="s">
        <v>91</v>
      </c>
      <c r="F99" s="70" t="s">
        <v>92</v>
      </c>
      <c r="G99" s="70" t="s">
        <v>4</v>
      </c>
      <c r="H99" s="70" t="s">
        <v>93</v>
      </c>
      <c r="I99" s="70" t="s">
        <v>149</v>
      </c>
      <c r="J99" s="5">
        <v>2025</v>
      </c>
      <c r="K99" s="67">
        <v>110</v>
      </c>
      <c r="L99" s="68">
        <v>1</v>
      </c>
      <c r="M99" s="66"/>
      <c r="N99" s="66"/>
      <c r="O99" s="66"/>
      <c r="P99" s="66"/>
      <c r="Q99" s="66"/>
      <c r="R99" s="65">
        <f>($K99*$D99)/$L99</f>
        <v>440</v>
      </c>
      <c r="S99" s="66"/>
      <c r="T99" s="66"/>
      <c r="U99" s="66"/>
      <c r="V99" s="66"/>
      <c r="W99" s="66"/>
      <c r="X99" s="65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</row>
    <row r="100" spans="1:48" ht="16.5" customHeight="1" x14ac:dyDescent="0.35">
      <c r="A100" s="107" t="s">
        <v>97</v>
      </c>
      <c r="B100" s="69" t="s">
        <v>92</v>
      </c>
      <c r="C100" s="71" t="s">
        <v>233</v>
      </c>
      <c r="D100" s="83">
        <v>3</v>
      </c>
      <c r="E100" s="72" t="s">
        <v>91</v>
      </c>
      <c r="F100" s="70" t="s">
        <v>92</v>
      </c>
      <c r="G100" s="70" t="s">
        <v>4</v>
      </c>
      <c r="H100" s="70" t="s">
        <v>93</v>
      </c>
      <c r="I100" s="70" t="s">
        <v>149</v>
      </c>
      <c r="J100" s="5">
        <v>2025</v>
      </c>
      <c r="K100" s="67">
        <v>110</v>
      </c>
      <c r="L100" s="68">
        <v>1</v>
      </c>
      <c r="M100" s="66"/>
      <c r="N100" s="66"/>
      <c r="O100" s="66"/>
      <c r="P100" s="66"/>
      <c r="Q100" s="66"/>
      <c r="R100" s="66"/>
      <c r="S100" s="65">
        <f>($K100*$D100)/$L100</f>
        <v>330</v>
      </c>
      <c r="T100" s="66"/>
      <c r="U100" s="66"/>
      <c r="V100" s="66"/>
      <c r="W100" s="66"/>
      <c r="X100" s="65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</row>
    <row r="101" spans="1:48" ht="16.5" customHeight="1" x14ac:dyDescent="0.35">
      <c r="A101" s="107" t="s">
        <v>97</v>
      </c>
      <c r="B101" s="69" t="s">
        <v>92</v>
      </c>
      <c r="C101" s="71" t="s">
        <v>234</v>
      </c>
      <c r="D101" s="83">
        <v>7</v>
      </c>
      <c r="E101" s="72" t="s">
        <v>91</v>
      </c>
      <c r="F101" s="70" t="s">
        <v>92</v>
      </c>
      <c r="G101" s="70" t="s">
        <v>4</v>
      </c>
      <c r="H101" s="70" t="s">
        <v>93</v>
      </c>
      <c r="I101" s="70" t="s">
        <v>149</v>
      </c>
      <c r="J101" s="5">
        <v>2025</v>
      </c>
      <c r="K101" s="67">
        <v>110</v>
      </c>
      <c r="L101" s="68">
        <v>1</v>
      </c>
      <c r="M101" s="66"/>
      <c r="N101" s="66"/>
      <c r="O101" s="66"/>
      <c r="P101" s="66"/>
      <c r="Q101" s="66"/>
      <c r="R101" s="66"/>
      <c r="S101" s="66"/>
      <c r="T101" s="65">
        <f>($K101*$D101)/$L101</f>
        <v>770</v>
      </c>
      <c r="U101" s="66"/>
      <c r="V101" s="66"/>
      <c r="W101" s="66"/>
      <c r="X101" s="65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</row>
    <row r="102" spans="1:48" ht="16.5" customHeight="1" x14ac:dyDescent="0.35">
      <c r="A102" s="107" t="s">
        <v>97</v>
      </c>
      <c r="B102" s="69" t="s">
        <v>92</v>
      </c>
      <c r="C102" s="71" t="s">
        <v>235</v>
      </c>
      <c r="D102" s="83">
        <v>4</v>
      </c>
      <c r="E102" s="72" t="s">
        <v>91</v>
      </c>
      <c r="F102" s="70" t="s">
        <v>92</v>
      </c>
      <c r="G102" s="70" t="s">
        <v>4</v>
      </c>
      <c r="H102" s="70" t="s">
        <v>93</v>
      </c>
      <c r="I102" s="70" t="s">
        <v>149</v>
      </c>
      <c r="J102" s="5">
        <v>2025</v>
      </c>
      <c r="K102" s="67">
        <v>110</v>
      </c>
      <c r="L102" s="68">
        <v>1</v>
      </c>
      <c r="M102" s="66"/>
      <c r="N102" s="66"/>
      <c r="O102" s="66"/>
      <c r="P102" s="66"/>
      <c r="Q102" s="66"/>
      <c r="R102" s="66"/>
      <c r="S102" s="65"/>
      <c r="T102" s="65"/>
      <c r="U102" s="65">
        <f>($K102*$D102)/$L102</f>
        <v>440</v>
      </c>
      <c r="V102" s="66"/>
      <c r="W102" s="66"/>
      <c r="X102" s="65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</row>
    <row r="103" spans="1:48" ht="16.5" customHeight="1" x14ac:dyDescent="0.35">
      <c r="A103" s="107" t="s">
        <v>97</v>
      </c>
      <c r="B103" s="69" t="s">
        <v>92</v>
      </c>
      <c r="C103" s="71" t="s">
        <v>236</v>
      </c>
      <c r="D103" s="83">
        <v>6</v>
      </c>
      <c r="E103" s="72" t="s">
        <v>91</v>
      </c>
      <c r="F103" s="70" t="s">
        <v>92</v>
      </c>
      <c r="G103" s="70" t="s">
        <v>4</v>
      </c>
      <c r="H103" s="70" t="s">
        <v>87</v>
      </c>
      <c r="I103" s="70" t="s">
        <v>149</v>
      </c>
      <c r="J103" s="5">
        <v>2025</v>
      </c>
      <c r="K103" s="67">
        <v>110</v>
      </c>
      <c r="L103" s="68">
        <v>1</v>
      </c>
      <c r="M103" s="66"/>
      <c r="N103" s="66"/>
      <c r="O103" s="66"/>
      <c r="P103" s="66"/>
      <c r="Q103" s="66"/>
      <c r="R103" s="66"/>
      <c r="S103" s="65"/>
      <c r="T103" s="65"/>
      <c r="U103" s="66"/>
      <c r="V103" s="65">
        <f>($K103*$D103)/$L103</f>
        <v>660</v>
      </c>
      <c r="W103" s="66"/>
      <c r="X103" s="65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</row>
    <row r="104" spans="1:48" ht="16.5" customHeight="1" x14ac:dyDescent="0.35">
      <c r="A104" s="107" t="s">
        <v>97</v>
      </c>
      <c r="B104" s="69" t="s">
        <v>92</v>
      </c>
      <c r="C104" s="71" t="s">
        <v>515</v>
      </c>
      <c r="D104" s="83">
        <v>3</v>
      </c>
      <c r="E104" s="72" t="s">
        <v>91</v>
      </c>
      <c r="F104" s="70" t="s">
        <v>92</v>
      </c>
      <c r="G104" s="70" t="s">
        <v>4</v>
      </c>
      <c r="H104" s="70" t="s">
        <v>87</v>
      </c>
      <c r="I104" s="70" t="s">
        <v>149</v>
      </c>
      <c r="J104" s="5">
        <v>2025</v>
      </c>
      <c r="K104" s="67">
        <v>110</v>
      </c>
      <c r="L104" s="68">
        <v>1</v>
      </c>
      <c r="M104" s="66"/>
      <c r="N104" s="66"/>
      <c r="O104" s="66"/>
      <c r="P104" s="66"/>
      <c r="Q104" s="66"/>
      <c r="R104" s="66"/>
      <c r="S104" s="65"/>
      <c r="T104" s="65"/>
      <c r="U104" s="66"/>
      <c r="V104" s="65"/>
      <c r="W104" s="65">
        <f>($K104*$D104)/$L104</f>
        <v>330</v>
      </c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</row>
    <row r="105" spans="1:48" ht="16.5" customHeight="1" x14ac:dyDescent="0.35">
      <c r="A105" s="107" t="s">
        <v>97</v>
      </c>
      <c r="B105" s="69" t="s">
        <v>92</v>
      </c>
      <c r="C105" s="71" t="s">
        <v>516</v>
      </c>
      <c r="D105" s="83">
        <v>2</v>
      </c>
      <c r="E105" s="72" t="s">
        <v>91</v>
      </c>
      <c r="F105" s="70" t="s">
        <v>92</v>
      </c>
      <c r="G105" s="70" t="s">
        <v>4</v>
      </c>
      <c r="H105" s="70" t="s">
        <v>87</v>
      </c>
      <c r="I105" s="70" t="s">
        <v>149</v>
      </c>
      <c r="J105" s="5">
        <v>2025</v>
      </c>
      <c r="K105" s="67">
        <v>110</v>
      </c>
      <c r="L105" s="68">
        <v>1</v>
      </c>
      <c r="M105" s="66"/>
      <c r="N105" s="66"/>
      <c r="O105" s="66"/>
      <c r="P105" s="66"/>
      <c r="Q105" s="66"/>
      <c r="R105" s="66"/>
      <c r="S105" s="65"/>
      <c r="T105" s="65"/>
      <c r="U105" s="66"/>
      <c r="V105" s="66"/>
      <c r="W105" s="65"/>
      <c r="X105" s="65">
        <f>($K105*$D105)/$L105</f>
        <v>220</v>
      </c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</row>
    <row r="106" spans="1:48" ht="16.5" customHeight="1" x14ac:dyDescent="0.35">
      <c r="A106" s="107" t="s">
        <v>77</v>
      </c>
      <c r="B106" s="69" t="s">
        <v>145</v>
      </c>
      <c r="C106" s="71" t="s">
        <v>543</v>
      </c>
      <c r="D106" s="83">
        <v>8</v>
      </c>
      <c r="E106" s="72" t="s">
        <v>72</v>
      </c>
      <c r="F106" s="70" t="s">
        <v>78</v>
      </c>
      <c r="G106" s="70" t="s">
        <v>8</v>
      </c>
      <c r="H106" s="70" t="s">
        <v>73</v>
      </c>
      <c r="I106" s="70" t="s">
        <v>157</v>
      </c>
      <c r="J106" s="5">
        <v>2026</v>
      </c>
      <c r="K106" s="67">
        <v>20</v>
      </c>
      <c r="L106" s="68">
        <v>1</v>
      </c>
      <c r="M106" s="66"/>
      <c r="N106" s="66"/>
      <c r="O106" s="66"/>
      <c r="P106" s="66"/>
      <c r="Q106" s="66"/>
      <c r="R106" s="66"/>
      <c r="S106" s="65"/>
      <c r="T106" s="65"/>
      <c r="U106" s="66"/>
      <c r="V106" s="65"/>
      <c r="W106" s="65"/>
      <c r="X106" s="65"/>
      <c r="Y106" s="65"/>
      <c r="Z106" s="65"/>
      <c r="AA106" s="65"/>
      <c r="AB106" s="65"/>
      <c r="AC106" s="65"/>
      <c r="AD106" s="65">
        <f>($K106*$D106)/$L106</f>
        <v>160</v>
      </c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</row>
    <row r="107" spans="1:48" ht="16.5" customHeight="1" x14ac:dyDescent="0.35">
      <c r="A107" s="107" t="s">
        <v>77</v>
      </c>
      <c r="B107" s="69" t="s">
        <v>145</v>
      </c>
      <c r="C107" s="71" t="s">
        <v>226</v>
      </c>
      <c r="D107" s="83">
        <v>4</v>
      </c>
      <c r="E107" s="72" t="s">
        <v>86</v>
      </c>
      <c r="F107" s="70" t="s">
        <v>78</v>
      </c>
      <c r="G107" s="70" t="s">
        <v>8</v>
      </c>
      <c r="H107" s="70" t="s">
        <v>80</v>
      </c>
      <c r="I107" s="70" t="s">
        <v>151</v>
      </c>
      <c r="J107" s="5">
        <v>2026</v>
      </c>
      <c r="K107" s="67">
        <v>20</v>
      </c>
      <c r="L107" s="68">
        <v>1</v>
      </c>
      <c r="M107" s="66"/>
      <c r="N107" s="66"/>
      <c r="O107" s="66"/>
      <c r="P107" s="66"/>
      <c r="Q107" s="66"/>
      <c r="R107" s="66"/>
      <c r="S107" s="65"/>
      <c r="T107" s="65"/>
      <c r="U107" s="66"/>
      <c r="V107" s="65"/>
      <c r="W107" s="65"/>
      <c r="X107" s="65"/>
      <c r="Y107" s="65"/>
      <c r="Z107" s="65"/>
      <c r="AA107" s="65">
        <f>($K107*$D107)/$L107</f>
        <v>80</v>
      </c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</row>
    <row r="108" spans="1:48" ht="16.5" customHeight="1" x14ac:dyDescent="0.35">
      <c r="A108" s="107" t="s">
        <v>97</v>
      </c>
      <c r="B108" s="69" t="s">
        <v>186</v>
      </c>
      <c r="C108" s="71" t="s">
        <v>471</v>
      </c>
      <c r="D108" s="83">
        <v>1</v>
      </c>
      <c r="E108" s="72" t="s">
        <v>72</v>
      </c>
      <c r="F108" s="70" t="s">
        <v>78</v>
      </c>
      <c r="G108" s="70" t="s">
        <v>4</v>
      </c>
      <c r="H108" s="70" t="s">
        <v>93</v>
      </c>
      <c r="I108" s="70" t="s">
        <v>149</v>
      </c>
      <c r="J108" s="5">
        <v>2025</v>
      </c>
      <c r="K108" s="67">
        <v>440</v>
      </c>
      <c r="L108" s="68">
        <v>2</v>
      </c>
      <c r="M108" s="66"/>
      <c r="N108" s="66"/>
      <c r="O108" s="65">
        <f>($K108*$D108)/$L108</f>
        <v>220</v>
      </c>
      <c r="P108" s="65">
        <f>($K108*$D108)/$L108</f>
        <v>220</v>
      </c>
      <c r="Q108" s="66"/>
      <c r="R108" s="66"/>
      <c r="S108" s="66"/>
      <c r="T108" s="66"/>
      <c r="U108" s="66"/>
      <c r="V108" s="66"/>
      <c r="W108" s="66"/>
      <c r="X108" s="65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</row>
    <row r="109" spans="1:48" ht="16.5" customHeight="1" x14ac:dyDescent="0.35">
      <c r="A109" s="107" t="s">
        <v>97</v>
      </c>
      <c r="B109" s="69" t="s">
        <v>168</v>
      </c>
      <c r="C109" s="71" t="s">
        <v>414</v>
      </c>
      <c r="D109" s="83">
        <v>3</v>
      </c>
      <c r="E109" s="72" t="s">
        <v>79</v>
      </c>
      <c r="F109" s="70" t="s">
        <v>78</v>
      </c>
      <c r="G109" s="70" t="s">
        <v>8</v>
      </c>
      <c r="H109" s="70" t="s">
        <v>73</v>
      </c>
      <c r="I109" s="70" t="s">
        <v>151</v>
      </c>
      <c r="J109" s="5">
        <v>2026</v>
      </c>
      <c r="K109" s="67">
        <v>150</v>
      </c>
      <c r="L109" s="68">
        <v>2</v>
      </c>
      <c r="M109" s="66"/>
      <c r="N109" s="66"/>
      <c r="O109" s="66"/>
      <c r="P109" s="66"/>
      <c r="Q109" s="66"/>
      <c r="R109" s="66"/>
      <c r="S109" s="65"/>
      <c r="T109" s="66"/>
      <c r="U109" s="66"/>
      <c r="V109" s="65"/>
      <c r="W109" s="66"/>
      <c r="X109" s="65"/>
      <c r="Y109" s="66"/>
      <c r="Z109" s="65"/>
      <c r="AA109" s="65">
        <f>($K109*$D109)/$L109</f>
        <v>225</v>
      </c>
      <c r="AB109" s="65">
        <f>($K109*$D109)/$L109</f>
        <v>225</v>
      </c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</row>
    <row r="110" spans="1:48" ht="16.5" customHeight="1" x14ac:dyDescent="0.35">
      <c r="A110" s="107" t="s">
        <v>77</v>
      </c>
      <c r="B110" s="69" t="s">
        <v>135</v>
      </c>
      <c r="C110" s="71" t="s">
        <v>238</v>
      </c>
      <c r="D110" s="83">
        <v>1</v>
      </c>
      <c r="E110" s="72" t="s">
        <v>79</v>
      </c>
      <c r="F110" s="70" t="s">
        <v>78</v>
      </c>
      <c r="G110" s="70" t="s">
        <v>4</v>
      </c>
      <c r="H110" s="70" t="s">
        <v>87</v>
      </c>
      <c r="I110" s="70" t="s">
        <v>149</v>
      </c>
      <c r="J110" s="5">
        <v>2025</v>
      </c>
      <c r="K110" s="67">
        <v>1680</v>
      </c>
      <c r="L110" s="68">
        <v>10</v>
      </c>
      <c r="M110" s="66"/>
      <c r="N110" s="65">
        <v>142.85714285714286</v>
      </c>
      <c r="O110" s="65">
        <v>142.85714285714286</v>
      </c>
      <c r="P110" s="65">
        <v>142.85714285714286</v>
      </c>
      <c r="Q110" s="65">
        <v>142.85714285714286</v>
      </c>
      <c r="R110" s="65">
        <v>142.85714285714286</v>
      </c>
      <c r="S110" s="65">
        <v>142.85714285714286</v>
      </c>
      <c r="T110" s="65">
        <v>43</v>
      </c>
      <c r="U110" s="65">
        <v>100</v>
      </c>
      <c r="V110" s="66">
        <v>400</v>
      </c>
      <c r="W110" s="66">
        <v>280</v>
      </c>
      <c r="X110" s="65">
        <v>100</v>
      </c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</row>
    <row r="111" spans="1:48" ht="16.5" customHeight="1" x14ac:dyDescent="0.35">
      <c r="A111" s="107" t="s">
        <v>77</v>
      </c>
      <c r="B111" s="69" t="s">
        <v>135</v>
      </c>
      <c r="C111" s="71" t="s">
        <v>239</v>
      </c>
      <c r="D111" s="83">
        <v>1</v>
      </c>
      <c r="E111" s="72" t="s">
        <v>79</v>
      </c>
      <c r="F111" s="70" t="s">
        <v>78</v>
      </c>
      <c r="G111" s="70" t="s">
        <v>4</v>
      </c>
      <c r="H111" s="70" t="s">
        <v>87</v>
      </c>
      <c r="I111" s="70" t="s">
        <v>128</v>
      </c>
      <c r="J111" s="5">
        <v>2025</v>
      </c>
      <c r="K111" s="67">
        <v>1680</v>
      </c>
      <c r="L111" s="68">
        <v>10</v>
      </c>
      <c r="M111" s="66"/>
      <c r="N111" s="66"/>
      <c r="O111" s="65">
        <v>166.66666666666666</v>
      </c>
      <c r="P111" s="65">
        <v>166.66666666666666</v>
      </c>
      <c r="Q111" s="65">
        <v>166.66666666666666</v>
      </c>
      <c r="R111" s="65">
        <v>166.66666666666666</v>
      </c>
      <c r="S111" s="65">
        <v>166.66666666666666</v>
      </c>
      <c r="T111" s="65">
        <v>67</v>
      </c>
      <c r="U111" s="65">
        <v>100</v>
      </c>
      <c r="V111" s="66">
        <v>400</v>
      </c>
      <c r="W111" s="66">
        <v>50</v>
      </c>
      <c r="X111" s="65">
        <v>100</v>
      </c>
      <c r="Y111" s="66">
        <v>130</v>
      </c>
      <c r="Z111" s="66">
        <v>30</v>
      </c>
      <c r="AA111" s="66">
        <v>70</v>
      </c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</row>
    <row r="112" spans="1:48" ht="16.5" customHeight="1" x14ac:dyDescent="0.35">
      <c r="A112" s="107" t="s">
        <v>77</v>
      </c>
      <c r="B112" s="69" t="s">
        <v>123</v>
      </c>
      <c r="C112" s="71" t="s">
        <v>426</v>
      </c>
      <c r="D112" s="83">
        <v>1</v>
      </c>
      <c r="E112" s="72" t="s">
        <v>79</v>
      </c>
      <c r="F112" s="70" t="s">
        <v>78</v>
      </c>
      <c r="G112" s="70" t="s">
        <v>4</v>
      </c>
      <c r="H112" s="70" t="s">
        <v>87</v>
      </c>
      <c r="I112" s="70" t="s">
        <v>138</v>
      </c>
      <c r="J112" s="5">
        <v>2025</v>
      </c>
      <c r="K112" s="67">
        <v>2400</v>
      </c>
      <c r="L112" s="68">
        <v>4</v>
      </c>
      <c r="M112" s="66"/>
      <c r="N112" s="66"/>
      <c r="O112" s="66"/>
      <c r="P112" s="66"/>
      <c r="Q112" s="66">
        <v>200</v>
      </c>
      <c r="R112" s="66"/>
      <c r="S112" s="66"/>
      <c r="T112" s="65">
        <v>200</v>
      </c>
      <c r="U112" s="65">
        <v>1000</v>
      </c>
      <c r="V112" s="65">
        <v>200</v>
      </c>
      <c r="W112" s="66">
        <v>100</v>
      </c>
      <c r="X112" s="65">
        <v>100</v>
      </c>
      <c r="Y112" s="65">
        <v>100</v>
      </c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</row>
    <row r="113" spans="1:48" ht="16.5" customHeight="1" x14ac:dyDescent="0.35">
      <c r="A113" s="107" t="s">
        <v>70</v>
      </c>
      <c r="B113" s="69" t="s">
        <v>115</v>
      </c>
      <c r="C113" s="71" t="s">
        <v>452</v>
      </c>
      <c r="D113" s="83">
        <v>1</v>
      </c>
      <c r="E113" s="72" t="s">
        <v>72</v>
      </c>
      <c r="F113" s="70" t="s">
        <v>78</v>
      </c>
      <c r="G113" s="70" t="s">
        <v>4</v>
      </c>
      <c r="H113" s="70" t="s">
        <v>93</v>
      </c>
      <c r="I113" s="70" t="s">
        <v>149</v>
      </c>
      <c r="J113" s="5">
        <v>2025</v>
      </c>
      <c r="K113" s="67">
        <v>100</v>
      </c>
      <c r="L113" s="68">
        <v>1</v>
      </c>
      <c r="M113" s="65"/>
      <c r="N113" s="65"/>
      <c r="O113" s="65"/>
      <c r="P113" s="65"/>
      <c r="Q113" s="65"/>
      <c r="R113" s="65"/>
      <c r="S113" s="65"/>
      <c r="T113" s="65">
        <f>($K113*$D113)/$L113</f>
        <v>100</v>
      </c>
      <c r="U113" s="65"/>
      <c r="V113" s="65"/>
      <c r="W113" s="66"/>
      <c r="X113" s="65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</row>
    <row r="114" spans="1:48" ht="16.5" customHeight="1" x14ac:dyDescent="0.35">
      <c r="A114" s="107" t="s">
        <v>77</v>
      </c>
      <c r="B114" s="69" t="s">
        <v>123</v>
      </c>
      <c r="C114" s="71" t="s">
        <v>427</v>
      </c>
      <c r="D114" s="83">
        <v>1</v>
      </c>
      <c r="E114" s="72" t="s">
        <v>86</v>
      </c>
      <c r="F114" s="70" t="s">
        <v>78</v>
      </c>
      <c r="G114" s="70" t="s">
        <v>4</v>
      </c>
      <c r="H114" s="70" t="s">
        <v>87</v>
      </c>
      <c r="I114" s="70" t="s">
        <v>151</v>
      </c>
      <c r="J114" s="5">
        <v>2026</v>
      </c>
      <c r="K114" s="67">
        <v>650</v>
      </c>
      <c r="L114" s="68">
        <v>2</v>
      </c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>
        <v>350</v>
      </c>
      <c r="AB114" s="66">
        <v>300</v>
      </c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</row>
    <row r="115" spans="1:48" ht="16.5" customHeight="1" x14ac:dyDescent="0.35">
      <c r="A115" s="107" t="s">
        <v>70</v>
      </c>
      <c r="B115" s="69" t="s">
        <v>115</v>
      </c>
      <c r="C115" s="71" t="s">
        <v>423</v>
      </c>
      <c r="D115" s="83">
        <v>1</v>
      </c>
      <c r="E115" s="72" t="s">
        <v>79</v>
      </c>
      <c r="F115" s="70" t="s">
        <v>78</v>
      </c>
      <c r="G115" s="70" t="s">
        <v>4</v>
      </c>
      <c r="H115" s="70" t="s">
        <v>93</v>
      </c>
      <c r="I115" s="70" t="s">
        <v>149</v>
      </c>
      <c r="J115" s="5">
        <v>2025</v>
      </c>
      <c r="K115" s="67">
        <v>400</v>
      </c>
      <c r="L115" s="68">
        <v>2</v>
      </c>
      <c r="M115" s="65"/>
      <c r="N115" s="65"/>
      <c r="O115" s="65"/>
      <c r="P115" s="65"/>
      <c r="Q115" s="65"/>
      <c r="R115" s="65"/>
      <c r="S115" s="65"/>
      <c r="T115" s="65"/>
      <c r="U115" s="65"/>
      <c r="V115" s="65">
        <f>($K115*$D115)/$L115</f>
        <v>200</v>
      </c>
      <c r="W115" s="65">
        <f>($K115*$D115)/$L115</f>
        <v>200</v>
      </c>
      <c r="X115" s="65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</row>
    <row r="116" spans="1:48" ht="16.5" customHeight="1" x14ac:dyDescent="0.35">
      <c r="A116" s="107" t="s">
        <v>70</v>
      </c>
      <c r="B116" s="69" t="s">
        <v>115</v>
      </c>
      <c r="C116" s="71" t="s">
        <v>453</v>
      </c>
      <c r="D116" s="83">
        <v>1</v>
      </c>
      <c r="E116" s="72" t="s">
        <v>79</v>
      </c>
      <c r="F116" s="70" t="s">
        <v>78</v>
      </c>
      <c r="G116" s="70" t="s">
        <v>4</v>
      </c>
      <c r="H116" s="70" t="s">
        <v>93</v>
      </c>
      <c r="I116" s="70" t="s">
        <v>149</v>
      </c>
      <c r="J116" s="5">
        <v>2025</v>
      </c>
      <c r="K116" s="67">
        <v>500</v>
      </c>
      <c r="L116" s="68">
        <v>8</v>
      </c>
      <c r="M116" s="65">
        <f t="shared" ref="M116:T119" si="1">($K116*$D116)/$L116</f>
        <v>62.5</v>
      </c>
      <c r="N116" s="65">
        <f t="shared" si="1"/>
        <v>62.5</v>
      </c>
      <c r="O116" s="65">
        <f t="shared" si="1"/>
        <v>62.5</v>
      </c>
      <c r="P116" s="65">
        <f t="shared" si="1"/>
        <v>62.5</v>
      </c>
      <c r="Q116" s="65">
        <f t="shared" si="1"/>
        <v>62.5</v>
      </c>
      <c r="R116" s="65">
        <f t="shared" si="1"/>
        <v>62.5</v>
      </c>
      <c r="S116" s="65">
        <f t="shared" si="1"/>
        <v>62.5</v>
      </c>
      <c r="T116" s="65">
        <f t="shared" si="1"/>
        <v>62.5</v>
      </c>
      <c r="U116" s="66"/>
      <c r="V116" s="66"/>
      <c r="W116" s="66"/>
      <c r="X116" s="65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</row>
    <row r="117" spans="1:48" ht="16.5" customHeight="1" x14ac:dyDescent="0.35">
      <c r="A117" s="107" t="s">
        <v>70</v>
      </c>
      <c r="B117" s="69" t="s">
        <v>115</v>
      </c>
      <c r="C117" s="71" t="s">
        <v>454</v>
      </c>
      <c r="D117" s="83">
        <v>1</v>
      </c>
      <c r="E117" s="72" t="s">
        <v>79</v>
      </c>
      <c r="F117" s="70" t="s">
        <v>78</v>
      </c>
      <c r="G117" s="70" t="s">
        <v>4</v>
      </c>
      <c r="H117" s="70" t="s">
        <v>93</v>
      </c>
      <c r="I117" s="70" t="s">
        <v>149</v>
      </c>
      <c r="J117" s="5">
        <v>2025</v>
      </c>
      <c r="K117" s="67">
        <v>500</v>
      </c>
      <c r="L117" s="68">
        <v>8</v>
      </c>
      <c r="M117" s="65">
        <f t="shared" si="1"/>
        <v>62.5</v>
      </c>
      <c r="N117" s="65">
        <f t="shared" si="1"/>
        <v>62.5</v>
      </c>
      <c r="O117" s="65">
        <f t="shared" si="1"/>
        <v>62.5</v>
      </c>
      <c r="P117" s="65">
        <f t="shared" si="1"/>
        <v>62.5</v>
      </c>
      <c r="Q117" s="65">
        <f t="shared" si="1"/>
        <v>62.5</v>
      </c>
      <c r="R117" s="65">
        <f t="shared" si="1"/>
        <v>62.5</v>
      </c>
      <c r="S117" s="65">
        <f t="shared" si="1"/>
        <v>62.5</v>
      </c>
      <c r="T117" s="65">
        <f t="shared" si="1"/>
        <v>62.5</v>
      </c>
      <c r="U117" s="66"/>
      <c r="V117" s="66"/>
      <c r="W117" s="66"/>
      <c r="X117" s="65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</row>
    <row r="118" spans="1:48" ht="16.5" customHeight="1" x14ac:dyDescent="0.35">
      <c r="A118" s="107" t="s">
        <v>70</v>
      </c>
      <c r="B118" s="69" t="s">
        <v>115</v>
      </c>
      <c r="C118" s="71" t="s">
        <v>455</v>
      </c>
      <c r="D118" s="83">
        <v>1</v>
      </c>
      <c r="E118" s="72" t="s">
        <v>79</v>
      </c>
      <c r="F118" s="70" t="s">
        <v>78</v>
      </c>
      <c r="G118" s="70" t="s">
        <v>4</v>
      </c>
      <c r="H118" s="70" t="s">
        <v>93</v>
      </c>
      <c r="I118" s="70" t="s">
        <v>149</v>
      </c>
      <c r="J118" s="5">
        <v>2025</v>
      </c>
      <c r="K118" s="67">
        <v>500</v>
      </c>
      <c r="L118" s="68">
        <v>8</v>
      </c>
      <c r="M118" s="65">
        <f t="shared" si="1"/>
        <v>62.5</v>
      </c>
      <c r="N118" s="65">
        <f t="shared" si="1"/>
        <v>62.5</v>
      </c>
      <c r="O118" s="65">
        <f t="shared" si="1"/>
        <v>62.5</v>
      </c>
      <c r="P118" s="65">
        <f t="shared" si="1"/>
        <v>62.5</v>
      </c>
      <c r="Q118" s="65">
        <f t="shared" si="1"/>
        <v>62.5</v>
      </c>
      <c r="R118" s="65">
        <f t="shared" si="1"/>
        <v>62.5</v>
      </c>
      <c r="S118" s="65">
        <f t="shared" si="1"/>
        <v>62.5</v>
      </c>
      <c r="T118" s="65">
        <f t="shared" si="1"/>
        <v>62.5</v>
      </c>
      <c r="U118" s="66"/>
      <c r="V118" s="66"/>
      <c r="W118" s="66"/>
      <c r="X118" s="65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</row>
    <row r="119" spans="1:48" ht="16.5" customHeight="1" x14ac:dyDescent="0.35">
      <c r="A119" s="107" t="s">
        <v>70</v>
      </c>
      <c r="B119" s="69" t="s">
        <v>115</v>
      </c>
      <c r="C119" s="71" t="s">
        <v>456</v>
      </c>
      <c r="D119" s="83">
        <v>1</v>
      </c>
      <c r="E119" s="72" t="s">
        <v>79</v>
      </c>
      <c r="F119" s="70" t="s">
        <v>78</v>
      </c>
      <c r="G119" s="70" t="s">
        <v>4</v>
      </c>
      <c r="H119" s="70" t="s">
        <v>93</v>
      </c>
      <c r="I119" s="70" t="s">
        <v>149</v>
      </c>
      <c r="J119" s="5">
        <v>2025</v>
      </c>
      <c r="K119" s="67">
        <v>500</v>
      </c>
      <c r="L119" s="68">
        <v>8</v>
      </c>
      <c r="M119" s="65">
        <f t="shared" si="1"/>
        <v>62.5</v>
      </c>
      <c r="N119" s="65">
        <f t="shared" si="1"/>
        <v>62.5</v>
      </c>
      <c r="O119" s="65">
        <f t="shared" si="1"/>
        <v>62.5</v>
      </c>
      <c r="P119" s="65">
        <f t="shared" si="1"/>
        <v>62.5</v>
      </c>
      <c r="Q119" s="65">
        <f t="shared" si="1"/>
        <v>62.5</v>
      </c>
      <c r="R119" s="65">
        <f t="shared" si="1"/>
        <v>62.5</v>
      </c>
      <c r="S119" s="65">
        <f t="shared" si="1"/>
        <v>62.5</v>
      </c>
      <c r="T119" s="65">
        <f t="shared" si="1"/>
        <v>62.5</v>
      </c>
      <c r="U119" s="66"/>
      <c r="V119" s="66"/>
      <c r="W119" s="66"/>
      <c r="X119" s="65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</row>
    <row r="120" spans="1:48" ht="16.5" customHeight="1" x14ac:dyDescent="0.35">
      <c r="A120" s="107" t="s">
        <v>70</v>
      </c>
      <c r="B120" s="69" t="s">
        <v>112</v>
      </c>
      <c r="C120" s="71" t="s">
        <v>437</v>
      </c>
      <c r="D120" s="114">
        <v>1</v>
      </c>
      <c r="E120" s="112" t="s">
        <v>71</v>
      </c>
      <c r="F120" s="115" t="s">
        <v>71</v>
      </c>
      <c r="G120" s="115" t="s">
        <v>4</v>
      </c>
      <c r="H120" s="115" t="s">
        <v>87</v>
      </c>
      <c r="I120" s="115" t="s">
        <v>149</v>
      </c>
      <c r="J120" s="5">
        <v>2026</v>
      </c>
      <c r="K120" s="67">
        <v>650</v>
      </c>
      <c r="L120" s="68">
        <v>2</v>
      </c>
      <c r="M120" s="65"/>
      <c r="N120" s="65"/>
      <c r="O120" s="65"/>
      <c r="P120" s="65"/>
      <c r="Q120" s="65"/>
      <c r="R120" s="65"/>
      <c r="S120" s="65"/>
      <c r="T120" s="65"/>
      <c r="U120" s="66"/>
      <c r="V120" s="66"/>
      <c r="W120" s="65"/>
      <c r="X120" s="65"/>
      <c r="Y120" s="65"/>
      <c r="Z120" s="65">
        <v>500</v>
      </c>
      <c r="AA120" s="65">
        <v>150</v>
      </c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</row>
    <row r="121" spans="1:48" ht="16.5" customHeight="1" x14ac:dyDescent="0.35">
      <c r="A121" s="107" t="s">
        <v>70</v>
      </c>
      <c r="B121" s="69" t="s">
        <v>112</v>
      </c>
      <c r="C121" s="71" t="s">
        <v>438</v>
      </c>
      <c r="D121" s="134">
        <v>1</v>
      </c>
      <c r="E121" s="70" t="s">
        <v>79</v>
      </c>
      <c r="F121" s="70" t="s">
        <v>78</v>
      </c>
      <c r="G121" s="70" t="s">
        <v>4</v>
      </c>
      <c r="H121" s="70" t="s">
        <v>93</v>
      </c>
      <c r="I121" s="70" t="s">
        <v>124</v>
      </c>
      <c r="J121" s="135">
        <v>2025</v>
      </c>
      <c r="K121" s="67">
        <v>308</v>
      </c>
      <c r="L121" s="68">
        <v>1</v>
      </c>
      <c r="M121" s="65">
        <f>($K121*$D121)/$L121</f>
        <v>308</v>
      </c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5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</row>
    <row r="122" spans="1:48" ht="16.5" customHeight="1" x14ac:dyDescent="0.35">
      <c r="A122" s="107" t="s">
        <v>70</v>
      </c>
      <c r="B122" s="69" t="s">
        <v>90</v>
      </c>
      <c r="C122" s="71" t="s">
        <v>542</v>
      </c>
      <c r="D122" s="134">
        <v>1</v>
      </c>
      <c r="E122" s="70" t="s">
        <v>72</v>
      </c>
      <c r="F122" s="70" t="s">
        <v>78</v>
      </c>
      <c r="G122" s="70" t="s">
        <v>8</v>
      </c>
      <c r="H122" s="70" t="s">
        <v>73</v>
      </c>
      <c r="I122" s="70" t="s">
        <v>151</v>
      </c>
      <c r="J122" s="5">
        <v>2026</v>
      </c>
      <c r="K122" s="67">
        <v>176</v>
      </c>
      <c r="L122" s="68">
        <v>1</v>
      </c>
      <c r="M122" s="65"/>
      <c r="N122" s="65"/>
      <c r="O122" s="65"/>
      <c r="P122" s="66"/>
      <c r="Q122" s="66"/>
      <c r="R122" s="66"/>
      <c r="S122" s="66"/>
      <c r="T122" s="66"/>
      <c r="U122" s="66"/>
      <c r="V122" s="66"/>
      <c r="W122" s="66"/>
      <c r="X122" s="65"/>
      <c r="Y122" s="65"/>
      <c r="Z122" s="65"/>
      <c r="AA122" s="65">
        <f>($K122*$D122)/$L122</f>
        <v>176</v>
      </c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</row>
    <row r="123" spans="1:48" ht="16.5" customHeight="1" x14ac:dyDescent="0.35">
      <c r="A123" s="107" t="s">
        <v>70</v>
      </c>
      <c r="B123" s="69" t="s">
        <v>90</v>
      </c>
      <c r="C123" s="71" t="s">
        <v>398</v>
      </c>
      <c r="D123" s="134">
        <v>1</v>
      </c>
      <c r="E123" s="70" t="s">
        <v>72</v>
      </c>
      <c r="F123" s="70" t="s">
        <v>78</v>
      </c>
      <c r="G123" s="70" t="s">
        <v>4</v>
      </c>
      <c r="H123" s="70" t="s">
        <v>93</v>
      </c>
      <c r="I123" s="70" t="s">
        <v>149</v>
      </c>
      <c r="J123" s="135">
        <v>2025</v>
      </c>
      <c r="K123" s="67">
        <v>120</v>
      </c>
      <c r="L123" s="68">
        <v>1</v>
      </c>
      <c r="M123" s="65"/>
      <c r="N123" s="65"/>
      <c r="O123" s="65"/>
      <c r="P123" s="66"/>
      <c r="Q123" s="66"/>
      <c r="R123" s="66"/>
      <c r="S123" s="66"/>
      <c r="T123" s="66"/>
      <c r="U123" s="66"/>
      <c r="V123" s="66"/>
      <c r="W123" s="65">
        <f>($K123*$D123)/$L123</f>
        <v>120</v>
      </c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</row>
    <row r="124" spans="1:48" ht="16.5" customHeight="1" x14ac:dyDescent="0.35">
      <c r="A124" s="107" t="s">
        <v>70</v>
      </c>
      <c r="B124" s="69" t="s">
        <v>90</v>
      </c>
      <c r="C124" s="71" t="s">
        <v>523</v>
      </c>
      <c r="D124" s="134">
        <v>1</v>
      </c>
      <c r="E124" s="70" t="s">
        <v>79</v>
      </c>
      <c r="F124" s="70" t="s">
        <v>78</v>
      </c>
      <c r="G124" s="70" t="s">
        <v>4</v>
      </c>
      <c r="H124" s="70" t="s">
        <v>93</v>
      </c>
      <c r="I124" s="70" t="s">
        <v>148</v>
      </c>
      <c r="J124" s="135">
        <v>2025</v>
      </c>
      <c r="K124" s="67">
        <v>190</v>
      </c>
      <c r="L124" s="68">
        <v>1</v>
      </c>
      <c r="M124" s="65"/>
      <c r="N124" s="65"/>
      <c r="O124" s="65"/>
      <c r="P124" s="66"/>
      <c r="Q124" s="66"/>
      <c r="R124" s="66"/>
      <c r="S124" s="66"/>
      <c r="T124" s="66"/>
      <c r="U124" s="66"/>
      <c r="V124" s="66"/>
      <c r="W124" s="65"/>
      <c r="X124" s="65">
        <v>20</v>
      </c>
      <c r="Y124" s="65">
        <v>170</v>
      </c>
      <c r="Z124" s="65"/>
      <c r="AA124" s="65"/>
      <c r="AB124" s="66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</row>
    <row r="125" spans="1:48" ht="16.5" customHeight="1" x14ac:dyDescent="0.35">
      <c r="A125" s="107" t="s">
        <v>70</v>
      </c>
      <c r="B125" s="69" t="s">
        <v>90</v>
      </c>
      <c r="C125" s="71" t="s">
        <v>524</v>
      </c>
      <c r="D125" s="134">
        <v>1</v>
      </c>
      <c r="E125" s="70" t="s">
        <v>86</v>
      </c>
      <c r="F125" s="70" t="s">
        <v>78</v>
      </c>
      <c r="G125" s="70" t="s">
        <v>4</v>
      </c>
      <c r="H125" s="70" t="s">
        <v>93</v>
      </c>
      <c r="I125" s="70" t="s">
        <v>148</v>
      </c>
      <c r="J125" s="135">
        <v>2026</v>
      </c>
      <c r="K125" s="67">
        <v>132</v>
      </c>
      <c r="L125" s="68">
        <v>1</v>
      </c>
      <c r="M125" s="65"/>
      <c r="N125" s="65"/>
      <c r="O125" s="65"/>
      <c r="P125" s="66"/>
      <c r="Q125" s="66"/>
      <c r="R125" s="66"/>
      <c r="S125" s="66"/>
      <c r="T125" s="66"/>
      <c r="U125" s="66"/>
      <c r="V125" s="66"/>
      <c r="W125" s="65"/>
      <c r="X125" s="65"/>
      <c r="Y125" s="65">
        <v>100</v>
      </c>
      <c r="Z125" s="65">
        <v>32</v>
      </c>
      <c r="AA125" s="65"/>
      <c r="AB125" s="66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</row>
    <row r="126" spans="1:48" ht="16.5" customHeight="1" x14ac:dyDescent="0.35">
      <c r="A126" s="107" t="s">
        <v>70</v>
      </c>
      <c r="B126" s="69" t="s">
        <v>90</v>
      </c>
      <c r="C126" s="71" t="s">
        <v>399</v>
      </c>
      <c r="D126" s="134">
        <v>1</v>
      </c>
      <c r="E126" s="70" t="s">
        <v>86</v>
      </c>
      <c r="F126" s="70" t="s">
        <v>78</v>
      </c>
      <c r="G126" s="70" t="s">
        <v>8</v>
      </c>
      <c r="H126" s="70" t="s">
        <v>73</v>
      </c>
      <c r="I126" s="70" t="s">
        <v>155</v>
      </c>
      <c r="J126" s="135">
        <v>2026</v>
      </c>
      <c r="K126" s="67">
        <v>132</v>
      </c>
      <c r="L126" s="68">
        <v>1</v>
      </c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5"/>
      <c r="Y126" s="65"/>
      <c r="Z126" s="65"/>
      <c r="AA126" s="65"/>
      <c r="AB126" s="65"/>
      <c r="AC126" s="65">
        <f>($K126*$D126)/$L126</f>
        <v>132</v>
      </c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</row>
    <row r="127" spans="1:48" ht="16.5" customHeight="1" x14ac:dyDescent="0.35">
      <c r="A127" s="107" t="s">
        <v>70</v>
      </c>
      <c r="B127" s="69" t="s">
        <v>90</v>
      </c>
      <c r="C127" s="71" t="s">
        <v>400</v>
      </c>
      <c r="D127" s="134">
        <v>1</v>
      </c>
      <c r="E127" s="70" t="s">
        <v>79</v>
      </c>
      <c r="F127" s="70" t="s">
        <v>78</v>
      </c>
      <c r="G127" s="70" t="s">
        <v>4</v>
      </c>
      <c r="H127" s="70" t="s">
        <v>87</v>
      </c>
      <c r="I127" s="70" t="s">
        <v>149</v>
      </c>
      <c r="J127" s="136">
        <v>2026</v>
      </c>
      <c r="K127" s="67">
        <v>854</v>
      </c>
      <c r="L127" s="68">
        <v>4</v>
      </c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5"/>
      <c r="Y127" s="65"/>
      <c r="Z127" s="65">
        <v>120</v>
      </c>
      <c r="AA127" s="65">
        <v>180</v>
      </c>
      <c r="AB127" s="65">
        <v>278</v>
      </c>
      <c r="AC127" s="65">
        <v>278</v>
      </c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</row>
    <row r="128" spans="1:48" ht="16.5" customHeight="1" x14ac:dyDescent="0.35">
      <c r="A128" s="107" t="s">
        <v>70</v>
      </c>
      <c r="B128" s="69" t="s">
        <v>90</v>
      </c>
      <c r="C128" s="71" t="s">
        <v>401</v>
      </c>
      <c r="D128" s="134">
        <v>1</v>
      </c>
      <c r="E128" s="70" t="s">
        <v>72</v>
      </c>
      <c r="F128" s="70" t="s">
        <v>78</v>
      </c>
      <c r="G128" s="70" t="s">
        <v>4</v>
      </c>
      <c r="H128" s="70" t="s">
        <v>93</v>
      </c>
      <c r="I128" s="70" t="s">
        <v>149</v>
      </c>
      <c r="J128" s="135">
        <v>2025</v>
      </c>
      <c r="K128" s="67">
        <v>176</v>
      </c>
      <c r="L128" s="68">
        <v>1</v>
      </c>
      <c r="M128" s="65"/>
      <c r="N128" s="65"/>
      <c r="O128" s="65"/>
      <c r="P128" s="66"/>
      <c r="Q128" s="66"/>
      <c r="R128" s="66"/>
      <c r="S128" s="66"/>
      <c r="T128" s="66"/>
      <c r="U128" s="66"/>
      <c r="V128" s="66"/>
      <c r="W128" s="65">
        <f>($K128*$D128)/$L128</f>
        <v>176</v>
      </c>
      <c r="X128" s="65"/>
      <c r="Y128" s="65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</row>
    <row r="129" spans="1:48" ht="16.5" customHeight="1" x14ac:dyDescent="0.35">
      <c r="A129" s="107" t="s">
        <v>70</v>
      </c>
      <c r="B129" s="69" t="s">
        <v>90</v>
      </c>
      <c r="C129" s="71" t="s">
        <v>240</v>
      </c>
      <c r="D129" s="134">
        <v>1</v>
      </c>
      <c r="E129" s="70" t="s">
        <v>79</v>
      </c>
      <c r="F129" s="70" t="s">
        <v>78</v>
      </c>
      <c r="G129" s="70" t="s">
        <v>4</v>
      </c>
      <c r="H129" s="70" t="s">
        <v>93</v>
      </c>
      <c r="I129" s="70" t="s">
        <v>149</v>
      </c>
      <c r="J129" s="135">
        <v>2025</v>
      </c>
      <c r="K129" s="67">
        <v>392.4</v>
      </c>
      <c r="L129" s="68">
        <v>3</v>
      </c>
      <c r="M129" s="65">
        <f t="shared" ref="M129:O130" si="2">($K129*$D129)/$L129</f>
        <v>130.79999999999998</v>
      </c>
      <c r="N129" s="65">
        <f t="shared" si="2"/>
        <v>130.79999999999998</v>
      </c>
      <c r="O129" s="65">
        <f t="shared" si="2"/>
        <v>130.79999999999998</v>
      </c>
      <c r="P129" s="66"/>
      <c r="Q129" s="66"/>
      <c r="R129" s="66"/>
      <c r="S129" s="66"/>
      <c r="T129" s="66"/>
      <c r="U129" s="66"/>
      <c r="V129" s="66"/>
      <c r="W129" s="66"/>
      <c r="X129" s="65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</row>
    <row r="130" spans="1:48" ht="16.5" customHeight="1" x14ac:dyDescent="0.35">
      <c r="A130" s="107" t="s">
        <v>70</v>
      </c>
      <c r="B130" s="69" t="s">
        <v>90</v>
      </c>
      <c r="C130" s="71" t="s">
        <v>241</v>
      </c>
      <c r="D130" s="137">
        <v>1</v>
      </c>
      <c r="E130" s="86" t="s">
        <v>79</v>
      </c>
      <c r="F130" s="87" t="s">
        <v>78</v>
      </c>
      <c r="G130" s="87" t="s">
        <v>4</v>
      </c>
      <c r="H130" s="87" t="s">
        <v>93</v>
      </c>
      <c r="I130" s="87" t="s">
        <v>149</v>
      </c>
      <c r="J130" s="5">
        <v>2025</v>
      </c>
      <c r="K130" s="67">
        <v>392.4</v>
      </c>
      <c r="L130" s="68">
        <v>3</v>
      </c>
      <c r="M130" s="65">
        <f t="shared" si="2"/>
        <v>130.79999999999998</v>
      </c>
      <c r="N130" s="65">
        <f t="shared" si="2"/>
        <v>130.79999999999998</v>
      </c>
      <c r="O130" s="65">
        <f t="shared" si="2"/>
        <v>130.79999999999998</v>
      </c>
      <c r="P130" s="66"/>
      <c r="Q130" s="66"/>
      <c r="R130" s="66"/>
      <c r="S130" s="66"/>
      <c r="T130" s="66"/>
      <c r="U130" s="66"/>
      <c r="V130" s="66"/>
      <c r="W130" s="66"/>
      <c r="X130" s="65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</row>
    <row r="131" spans="1:48" ht="16.5" customHeight="1" x14ac:dyDescent="0.35">
      <c r="A131" s="107" t="s">
        <v>70</v>
      </c>
      <c r="B131" s="69" t="s">
        <v>83</v>
      </c>
      <c r="C131" s="71" t="s">
        <v>242</v>
      </c>
      <c r="D131" s="83">
        <v>1</v>
      </c>
      <c r="E131" s="72" t="s">
        <v>79</v>
      </c>
      <c r="F131" s="70" t="s">
        <v>78</v>
      </c>
      <c r="G131" s="70" t="s">
        <v>4</v>
      </c>
      <c r="H131" s="70" t="s">
        <v>93</v>
      </c>
      <c r="I131" s="70" t="s">
        <v>149</v>
      </c>
      <c r="J131" s="5">
        <v>2025</v>
      </c>
      <c r="K131" s="67">
        <v>352</v>
      </c>
      <c r="L131" s="68">
        <v>3</v>
      </c>
      <c r="M131" s="66"/>
      <c r="N131" s="66"/>
      <c r="O131" s="65">
        <f>($K131*$D131)/$L131</f>
        <v>117.33333333333333</v>
      </c>
      <c r="P131" s="65">
        <f>($K131*$D131)/$L131</f>
        <v>117.33333333333333</v>
      </c>
      <c r="Q131" s="65">
        <f>($K131*$D131)/$L131</f>
        <v>117.33333333333333</v>
      </c>
      <c r="R131" s="66"/>
      <c r="S131" s="66"/>
      <c r="T131" s="66"/>
      <c r="U131" s="66"/>
      <c r="V131" s="66"/>
      <c r="W131" s="66"/>
      <c r="X131" s="65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</row>
    <row r="132" spans="1:48" ht="16.5" customHeight="1" x14ac:dyDescent="0.35">
      <c r="A132" s="107" t="s">
        <v>70</v>
      </c>
      <c r="B132" s="69" t="s">
        <v>96</v>
      </c>
      <c r="C132" s="71" t="s">
        <v>243</v>
      </c>
      <c r="D132" s="83">
        <v>1</v>
      </c>
      <c r="E132" s="72" t="s">
        <v>79</v>
      </c>
      <c r="F132" s="70" t="s">
        <v>78</v>
      </c>
      <c r="G132" s="70" t="s">
        <v>4</v>
      </c>
      <c r="H132" s="70" t="s">
        <v>93</v>
      </c>
      <c r="I132" s="70" t="s">
        <v>149</v>
      </c>
      <c r="J132" s="5">
        <v>2025</v>
      </c>
      <c r="K132" s="67">
        <v>234.67</v>
      </c>
      <c r="L132" s="68">
        <v>4</v>
      </c>
      <c r="M132" s="65">
        <f>($K132*$D132)/$L132</f>
        <v>58.667499999999997</v>
      </c>
      <c r="N132" s="65">
        <f>($K132*$D132)/$L132</f>
        <v>58.667499999999997</v>
      </c>
      <c r="O132" s="65">
        <f>($K132*$D132)/$L132</f>
        <v>58.667499999999997</v>
      </c>
      <c r="P132" s="65">
        <f>($K132*$D132)/$L132</f>
        <v>58.667499999999997</v>
      </c>
      <c r="Q132" s="66"/>
      <c r="R132" s="66"/>
      <c r="S132" s="66"/>
      <c r="T132" s="66"/>
      <c r="U132" s="66"/>
      <c r="V132" s="66"/>
      <c r="W132" s="66"/>
      <c r="X132" s="65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</row>
    <row r="133" spans="1:48" ht="16.5" customHeight="1" x14ac:dyDescent="0.35">
      <c r="A133" s="107" t="s">
        <v>84</v>
      </c>
      <c r="B133" s="69" t="s">
        <v>127</v>
      </c>
      <c r="C133" s="71" t="s">
        <v>244</v>
      </c>
      <c r="D133" s="83">
        <v>31</v>
      </c>
      <c r="E133" s="72" t="s">
        <v>79</v>
      </c>
      <c r="F133" s="70" t="s">
        <v>78</v>
      </c>
      <c r="G133" s="70" t="s">
        <v>4</v>
      </c>
      <c r="H133" s="70" t="s">
        <v>93</v>
      </c>
      <c r="I133" s="70" t="s">
        <v>149</v>
      </c>
      <c r="J133" s="5">
        <v>2025</v>
      </c>
      <c r="K133" s="67">
        <v>66.67</v>
      </c>
      <c r="L133" s="68">
        <v>1</v>
      </c>
      <c r="M133" s="65">
        <f>($K133*$D133)/$L133</f>
        <v>2066.77</v>
      </c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5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</row>
    <row r="134" spans="1:48" ht="16.5" customHeight="1" x14ac:dyDescent="0.35">
      <c r="A134" s="107" t="s">
        <v>84</v>
      </c>
      <c r="B134" s="69" t="s">
        <v>127</v>
      </c>
      <c r="C134" s="71" t="s">
        <v>245</v>
      </c>
      <c r="D134" s="83">
        <v>6</v>
      </c>
      <c r="E134" s="72" t="s">
        <v>79</v>
      </c>
      <c r="F134" s="70" t="s">
        <v>78</v>
      </c>
      <c r="G134" s="70" t="s">
        <v>4</v>
      </c>
      <c r="H134" s="70" t="s">
        <v>93</v>
      </c>
      <c r="I134" s="70" t="s">
        <v>149</v>
      </c>
      <c r="J134" s="5">
        <v>2025</v>
      </c>
      <c r="K134" s="67">
        <v>70.67</v>
      </c>
      <c r="L134" s="68">
        <v>1</v>
      </c>
      <c r="M134" s="65">
        <f>($K134*$D134)/$L134</f>
        <v>424.02</v>
      </c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5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</row>
    <row r="135" spans="1:48" ht="16.5" customHeight="1" x14ac:dyDescent="0.35">
      <c r="A135" s="107" t="s">
        <v>77</v>
      </c>
      <c r="B135" s="69" t="s">
        <v>121</v>
      </c>
      <c r="C135" s="71" t="s">
        <v>467</v>
      </c>
      <c r="D135" s="83">
        <v>1</v>
      </c>
      <c r="E135" s="72" t="s">
        <v>72</v>
      </c>
      <c r="F135" s="70" t="s">
        <v>78</v>
      </c>
      <c r="G135" s="70" t="s">
        <v>4</v>
      </c>
      <c r="H135" s="70" t="s">
        <v>93</v>
      </c>
      <c r="I135" s="70" t="s">
        <v>149</v>
      </c>
      <c r="J135" s="5">
        <v>2025</v>
      </c>
      <c r="K135" s="67">
        <v>1800</v>
      </c>
      <c r="L135" s="68">
        <v>3</v>
      </c>
      <c r="M135" s="65">
        <f>($K135*$D135)/$L135</f>
        <v>600</v>
      </c>
      <c r="N135" s="65">
        <f>($K135*$D135)/$L135</f>
        <v>600</v>
      </c>
      <c r="O135" s="65">
        <f>($K135*$D135)/$L135</f>
        <v>600</v>
      </c>
      <c r="P135" s="66"/>
      <c r="Q135" s="66"/>
      <c r="R135" s="66"/>
      <c r="S135" s="66"/>
      <c r="T135" s="66"/>
      <c r="U135" s="66"/>
      <c r="V135" s="66"/>
      <c r="W135" s="66"/>
      <c r="X135" s="65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</row>
    <row r="136" spans="1:48" ht="16.5" customHeight="1" x14ac:dyDescent="0.35">
      <c r="A136" s="107" t="s">
        <v>77</v>
      </c>
      <c r="B136" s="69" t="s">
        <v>121</v>
      </c>
      <c r="C136" s="71" t="s">
        <v>468</v>
      </c>
      <c r="D136" s="83">
        <v>1</v>
      </c>
      <c r="E136" s="72" t="s">
        <v>86</v>
      </c>
      <c r="F136" s="70" t="s">
        <v>78</v>
      </c>
      <c r="G136" s="70" t="s">
        <v>4</v>
      </c>
      <c r="H136" s="70" t="s">
        <v>93</v>
      </c>
      <c r="I136" s="70" t="s">
        <v>149</v>
      </c>
      <c r="J136" s="5">
        <v>2025</v>
      </c>
      <c r="K136" s="67">
        <v>1200</v>
      </c>
      <c r="L136" s="68">
        <v>2</v>
      </c>
      <c r="M136" s="65">
        <f>($K136*$D136)/$L136</f>
        <v>600</v>
      </c>
      <c r="N136" s="65">
        <f>($K136*$D136)/$L136</f>
        <v>600</v>
      </c>
      <c r="O136" s="66"/>
      <c r="P136" s="66"/>
      <c r="Q136" s="66"/>
      <c r="R136" s="66"/>
      <c r="S136" s="66"/>
      <c r="T136" s="66"/>
      <c r="U136" s="66"/>
      <c r="V136" s="66"/>
      <c r="W136" s="66"/>
      <c r="X136" s="65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</row>
    <row r="137" spans="1:48" ht="16.5" customHeight="1" x14ac:dyDescent="0.35">
      <c r="A137" s="107" t="s">
        <v>77</v>
      </c>
      <c r="B137" s="69" t="s">
        <v>121</v>
      </c>
      <c r="C137" s="71" t="s">
        <v>467</v>
      </c>
      <c r="D137" s="83">
        <v>1</v>
      </c>
      <c r="E137" s="72" t="s">
        <v>79</v>
      </c>
      <c r="F137" s="70" t="s">
        <v>78</v>
      </c>
      <c r="G137" s="70" t="s">
        <v>4</v>
      </c>
      <c r="H137" s="70" t="s">
        <v>93</v>
      </c>
      <c r="I137" s="70" t="s">
        <v>149</v>
      </c>
      <c r="J137" s="5">
        <v>2025</v>
      </c>
      <c r="K137" s="67">
        <v>1500</v>
      </c>
      <c r="L137" s="68">
        <v>5</v>
      </c>
      <c r="M137" s="66"/>
      <c r="N137" s="66"/>
      <c r="O137" s="65">
        <f>($K137*$D137)/$L137</f>
        <v>300</v>
      </c>
      <c r="P137" s="65">
        <f>($K137*$D137)/$L137</f>
        <v>300</v>
      </c>
      <c r="Q137" s="65">
        <f>($K137*$D137)/$L137</f>
        <v>300</v>
      </c>
      <c r="R137" s="65">
        <f>($K137*$D137)/$L137</f>
        <v>300</v>
      </c>
      <c r="S137" s="65">
        <f>($K137*$D137)/$L137</f>
        <v>300</v>
      </c>
      <c r="T137" s="66"/>
      <c r="U137" s="66"/>
      <c r="V137" s="66"/>
      <c r="W137" s="66"/>
      <c r="X137" s="65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</row>
    <row r="138" spans="1:48" ht="16.5" customHeight="1" x14ac:dyDescent="0.35">
      <c r="A138" s="107" t="s">
        <v>77</v>
      </c>
      <c r="B138" s="69" t="s">
        <v>121</v>
      </c>
      <c r="C138" s="71" t="s">
        <v>467</v>
      </c>
      <c r="D138" s="83">
        <v>1</v>
      </c>
      <c r="E138" s="72" t="s">
        <v>86</v>
      </c>
      <c r="F138" s="70" t="s">
        <v>78</v>
      </c>
      <c r="G138" s="70" t="s">
        <v>4</v>
      </c>
      <c r="H138" s="70" t="s">
        <v>93</v>
      </c>
      <c r="I138" s="70" t="s">
        <v>149</v>
      </c>
      <c r="J138" s="5">
        <v>2025</v>
      </c>
      <c r="K138" s="67">
        <v>500</v>
      </c>
      <c r="L138" s="68">
        <v>1</v>
      </c>
      <c r="M138" s="65"/>
      <c r="N138" s="65"/>
      <c r="O138" s="65"/>
      <c r="P138" s="65"/>
      <c r="Q138" s="65"/>
      <c r="R138" s="65"/>
      <c r="S138" s="65">
        <v>400</v>
      </c>
      <c r="T138" s="65">
        <v>100</v>
      </c>
      <c r="U138" s="66"/>
      <c r="V138" s="66"/>
      <c r="W138" s="66"/>
      <c r="X138" s="65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</row>
    <row r="139" spans="1:48" ht="16.5" customHeight="1" x14ac:dyDescent="0.35">
      <c r="A139" s="108" t="s">
        <v>77</v>
      </c>
      <c r="B139" s="69" t="s">
        <v>131</v>
      </c>
      <c r="C139" s="71" t="s">
        <v>396</v>
      </c>
      <c r="D139" s="83">
        <v>1</v>
      </c>
      <c r="E139" s="72" t="s">
        <v>71</v>
      </c>
      <c r="F139" s="70" t="s">
        <v>71</v>
      </c>
      <c r="G139" s="70" t="s">
        <v>4</v>
      </c>
      <c r="H139" s="70" t="s">
        <v>93</v>
      </c>
      <c r="I139" s="70" t="s">
        <v>119</v>
      </c>
      <c r="J139" s="5">
        <v>2024</v>
      </c>
      <c r="K139" s="67">
        <v>6045</v>
      </c>
      <c r="L139" s="68">
        <v>9</v>
      </c>
      <c r="M139" s="65">
        <f>($K139*$D139)/$L139</f>
        <v>671.66666666666663</v>
      </c>
      <c r="N139" s="65">
        <f>($K139*$D139)/$L139</f>
        <v>671.66666666666663</v>
      </c>
      <c r="O139" s="65">
        <f>($K139*$D139)/$L139</f>
        <v>671.66666666666663</v>
      </c>
      <c r="P139" s="65">
        <f>($K139*$D139)/$L139</f>
        <v>671.66666666666663</v>
      </c>
      <c r="Q139" s="66"/>
      <c r="R139" s="65">
        <f>($K139*$D139)/$L139</f>
        <v>671.66666666666663</v>
      </c>
      <c r="S139" s="65">
        <f>($K139*$D139)/$L139</f>
        <v>671.66666666666663</v>
      </c>
      <c r="T139" s="65">
        <f>($K139*$D139)/$L139</f>
        <v>671.66666666666663</v>
      </c>
      <c r="U139" s="66">
        <v>472</v>
      </c>
      <c r="V139" s="66">
        <v>250</v>
      </c>
      <c r="W139" s="66">
        <v>150</v>
      </c>
      <c r="X139" s="65">
        <v>20</v>
      </c>
      <c r="Y139" s="66">
        <v>60</v>
      </c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</row>
    <row r="140" spans="1:48" ht="16.5" customHeight="1" x14ac:dyDescent="0.35">
      <c r="A140" s="108" t="s">
        <v>70</v>
      </c>
      <c r="B140" s="69" t="s">
        <v>76</v>
      </c>
      <c r="C140" s="71" t="s">
        <v>441</v>
      </c>
      <c r="D140" s="83">
        <v>1</v>
      </c>
      <c r="E140" s="72" t="s">
        <v>79</v>
      </c>
      <c r="F140" s="70" t="s">
        <v>85</v>
      </c>
      <c r="G140" s="70" t="s">
        <v>8</v>
      </c>
      <c r="H140" s="70" t="s">
        <v>80</v>
      </c>
      <c r="I140" s="70" t="s">
        <v>151</v>
      </c>
      <c r="J140" s="5">
        <v>2026</v>
      </c>
      <c r="K140" s="67">
        <v>120</v>
      </c>
      <c r="L140" s="68">
        <v>1</v>
      </c>
      <c r="M140" s="66"/>
      <c r="N140" s="66"/>
      <c r="O140" s="66"/>
      <c r="P140" s="66"/>
      <c r="Q140" s="66"/>
      <c r="R140" s="66"/>
      <c r="S140" s="65"/>
      <c r="T140" s="66"/>
      <c r="U140" s="66"/>
      <c r="V140" s="66"/>
      <c r="W140" s="65"/>
      <c r="X140" s="65"/>
      <c r="Y140" s="65"/>
      <c r="Z140" s="65"/>
      <c r="AA140" s="65">
        <f>($K140*$D140)/$L140</f>
        <v>120</v>
      </c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</row>
    <row r="141" spans="1:48" ht="16.5" customHeight="1" x14ac:dyDescent="0.35">
      <c r="A141" s="108" t="s">
        <v>84</v>
      </c>
      <c r="B141" s="69" t="s">
        <v>125</v>
      </c>
      <c r="C141" s="71" t="s">
        <v>461</v>
      </c>
      <c r="D141" s="83">
        <v>1</v>
      </c>
      <c r="E141" s="72" t="s">
        <v>79</v>
      </c>
      <c r="F141" s="70" t="s">
        <v>78</v>
      </c>
      <c r="G141" s="70" t="s">
        <v>4</v>
      </c>
      <c r="H141" s="70" t="s">
        <v>93</v>
      </c>
      <c r="I141" s="70" t="s">
        <v>149</v>
      </c>
      <c r="J141" s="5">
        <v>2025</v>
      </c>
      <c r="K141" s="67">
        <v>400</v>
      </c>
      <c r="L141" s="68">
        <v>2</v>
      </c>
      <c r="M141" s="66"/>
      <c r="N141" s="66"/>
      <c r="O141" s="66"/>
      <c r="P141" s="66"/>
      <c r="Q141" s="66"/>
      <c r="R141" s="66"/>
      <c r="S141" s="66"/>
      <c r="T141" s="66">
        <f>($K141*$D141)/$L141</f>
        <v>200</v>
      </c>
      <c r="U141" s="66">
        <f>($K141*$D141)/$L141</f>
        <v>200</v>
      </c>
      <c r="V141" s="66"/>
      <c r="W141" s="66"/>
      <c r="X141" s="65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</row>
    <row r="142" spans="1:48" ht="16.5" customHeight="1" x14ac:dyDescent="0.35">
      <c r="A142" s="108" t="s">
        <v>77</v>
      </c>
      <c r="B142" s="69" t="s">
        <v>176</v>
      </c>
      <c r="C142" s="71" t="s">
        <v>470</v>
      </c>
      <c r="D142" s="83">
        <v>1</v>
      </c>
      <c r="E142" s="72" t="s">
        <v>72</v>
      </c>
      <c r="F142" s="70" t="s">
        <v>78</v>
      </c>
      <c r="G142" s="70" t="s">
        <v>4</v>
      </c>
      <c r="H142" s="70" t="s">
        <v>93</v>
      </c>
      <c r="I142" s="70" t="s">
        <v>149</v>
      </c>
      <c r="J142" s="5">
        <v>2025</v>
      </c>
      <c r="K142" s="67">
        <v>200</v>
      </c>
      <c r="L142" s="68">
        <v>1</v>
      </c>
      <c r="M142" s="66"/>
      <c r="N142" s="66"/>
      <c r="O142" s="66"/>
      <c r="P142" s="66"/>
      <c r="Q142" s="66"/>
      <c r="R142" s="65">
        <f>($K142*$D142)/$L142</f>
        <v>200</v>
      </c>
      <c r="S142" s="66"/>
      <c r="T142" s="66"/>
      <c r="U142" s="66"/>
      <c r="V142" s="66"/>
      <c r="W142" s="66"/>
      <c r="X142" s="65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</row>
    <row r="143" spans="1:48" ht="16.5" customHeight="1" x14ac:dyDescent="0.35">
      <c r="A143" s="108" t="s">
        <v>77</v>
      </c>
      <c r="B143" s="69" t="s">
        <v>105</v>
      </c>
      <c r="C143" s="71" t="s">
        <v>413</v>
      </c>
      <c r="D143" s="83">
        <v>1</v>
      </c>
      <c r="E143" s="72" t="s">
        <v>79</v>
      </c>
      <c r="F143" s="70" t="s">
        <v>78</v>
      </c>
      <c r="G143" s="70" t="s">
        <v>4</v>
      </c>
      <c r="H143" s="70" t="s">
        <v>87</v>
      </c>
      <c r="I143" s="70" t="s">
        <v>149</v>
      </c>
      <c r="J143" s="5">
        <v>2025</v>
      </c>
      <c r="K143" s="67">
        <v>1080</v>
      </c>
      <c r="L143" s="68">
        <v>4</v>
      </c>
      <c r="M143" s="66"/>
      <c r="N143" s="66"/>
      <c r="O143" s="66"/>
      <c r="P143" s="66"/>
      <c r="Q143" s="66"/>
      <c r="R143" s="66"/>
      <c r="S143" s="66"/>
      <c r="T143" s="65"/>
      <c r="U143" s="65">
        <v>360</v>
      </c>
      <c r="V143" s="65">
        <v>360</v>
      </c>
      <c r="W143" s="65">
        <v>200</v>
      </c>
      <c r="X143" s="65">
        <v>160</v>
      </c>
      <c r="Y143" s="66">
        <v>150</v>
      </c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</row>
    <row r="144" spans="1:48" ht="16.5" customHeight="1" x14ac:dyDescent="0.35">
      <c r="A144" s="108" t="s">
        <v>77</v>
      </c>
      <c r="B144" s="69" t="s">
        <v>176</v>
      </c>
      <c r="C144" s="71" t="s">
        <v>470</v>
      </c>
      <c r="D144" s="83">
        <v>1</v>
      </c>
      <c r="E144" s="72" t="s">
        <v>79</v>
      </c>
      <c r="F144" s="70" t="s">
        <v>78</v>
      </c>
      <c r="G144" s="70" t="s">
        <v>4</v>
      </c>
      <c r="H144" s="70" t="s">
        <v>93</v>
      </c>
      <c r="I144" s="70" t="s">
        <v>149</v>
      </c>
      <c r="J144" s="5">
        <v>2025</v>
      </c>
      <c r="K144" s="67">
        <v>200</v>
      </c>
      <c r="L144" s="68">
        <v>2</v>
      </c>
      <c r="M144" s="66"/>
      <c r="N144" s="66"/>
      <c r="O144" s="66"/>
      <c r="P144" s="66"/>
      <c r="Q144" s="66"/>
      <c r="R144" s="66"/>
      <c r="S144" s="65">
        <f>($K144*$D144)/$L144</f>
        <v>100</v>
      </c>
      <c r="T144" s="65">
        <f>($K144*$D144)/$L144</f>
        <v>100</v>
      </c>
      <c r="U144" s="66"/>
      <c r="V144" s="66"/>
      <c r="W144" s="66"/>
      <c r="X144" s="65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</row>
    <row r="145" spans="1:48" ht="16.5" customHeight="1" x14ac:dyDescent="0.35">
      <c r="A145" s="108" t="s">
        <v>77</v>
      </c>
      <c r="B145" s="69" t="s">
        <v>105</v>
      </c>
      <c r="C145" s="71" t="s">
        <v>413</v>
      </c>
      <c r="D145" s="83">
        <v>1</v>
      </c>
      <c r="E145" s="72" t="s">
        <v>86</v>
      </c>
      <c r="F145" s="70" t="s">
        <v>78</v>
      </c>
      <c r="G145" s="70" t="s">
        <v>4</v>
      </c>
      <c r="H145" s="70" t="s">
        <v>93</v>
      </c>
      <c r="I145" s="70" t="s">
        <v>149</v>
      </c>
      <c r="J145" s="5">
        <v>2026</v>
      </c>
      <c r="K145" s="67">
        <v>150</v>
      </c>
      <c r="L145" s="68">
        <v>1</v>
      </c>
      <c r="M145" s="66"/>
      <c r="N145" s="66"/>
      <c r="O145" s="66"/>
      <c r="P145" s="66"/>
      <c r="Q145" s="66"/>
      <c r="R145" s="66"/>
      <c r="S145" s="66"/>
      <c r="T145" s="66"/>
      <c r="U145" s="66"/>
      <c r="V145" s="65"/>
      <c r="W145" s="65"/>
      <c r="X145" s="65"/>
      <c r="Y145" s="65"/>
      <c r="Z145" s="65">
        <f>($K145*$D145)/$L145</f>
        <v>150</v>
      </c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</row>
    <row r="146" spans="1:48" ht="16.5" customHeight="1" x14ac:dyDescent="0.35">
      <c r="A146" s="108" t="s">
        <v>97</v>
      </c>
      <c r="B146" s="69" t="s">
        <v>176</v>
      </c>
      <c r="C146" s="71" t="s">
        <v>470</v>
      </c>
      <c r="D146" s="83">
        <v>1</v>
      </c>
      <c r="E146" s="72" t="s">
        <v>86</v>
      </c>
      <c r="F146" s="70" t="s">
        <v>78</v>
      </c>
      <c r="G146" s="70" t="s">
        <v>4</v>
      </c>
      <c r="H146" s="70" t="s">
        <v>93</v>
      </c>
      <c r="I146" s="70" t="s">
        <v>149</v>
      </c>
      <c r="J146" s="5">
        <v>2025</v>
      </c>
      <c r="K146" s="67">
        <v>40</v>
      </c>
      <c r="L146" s="68">
        <v>1</v>
      </c>
      <c r="M146" s="66"/>
      <c r="N146" s="66"/>
      <c r="O146" s="66"/>
      <c r="P146" s="66"/>
      <c r="Q146" s="66"/>
      <c r="R146" s="66"/>
      <c r="S146" s="66"/>
      <c r="T146" s="65">
        <f>($K146*$D146)/$L146</f>
        <v>40</v>
      </c>
      <c r="U146" s="66"/>
      <c r="V146" s="66"/>
      <c r="W146" s="66"/>
      <c r="X146" s="65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</row>
    <row r="147" spans="1:48" ht="16.5" customHeight="1" x14ac:dyDescent="0.35">
      <c r="A147" s="108" t="s">
        <v>97</v>
      </c>
      <c r="B147" s="72" t="s">
        <v>166</v>
      </c>
      <c r="C147" s="71" t="s">
        <v>246</v>
      </c>
      <c r="D147" s="83">
        <v>1</v>
      </c>
      <c r="E147" s="72" t="s">
        <v>72</v>
      </c>
      <c r="F147" s="70" t="s">
        <v>85</v>
      </c>
      <c r="G147" s="70" t="s">
        <v>4</v>
      </c>
      <c r="H147" s="70" t="s">
        <v>93</v>
      </c>
      <c r="I147" s="70" t="s">
        <v>149</v>
      </c>
      <c r="J147" s="5">
        <v>2025</v>
      </c>
      <c r="K147" s="67">
        <v>774</v>
      </c>
      <c r="L147" s="68">
        <v>2</v>
      </c>
      <c r="M147" s="66"/>
      <c r="N147" s="66"/>
      <c r="O147" s="66"/>
      <c r="P147" s="66"/>
      <c r="Q147" s="66"/>
      <c r="R147" s="66"/>
      <c r="S147" s="65">
        <v>574</v>
      </c>
      <c r="T147" s="65">
        <v>200</v>
      </c>
      <c r="U147" s="66"/>
      <c r="V147" s="66"/>
      <c r="W147" s="66"/>
      <c r="X147" s="65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</row>
    <row r="148" spans="1:48" ht="16.5" customHeight="1" x14ac:dyDescent="0.35">
      <c r="A148" s="107" t="s">
        <v>77</v>
      </c>
      <c r="B148" s="105" t="s">
        <v>121</v>
      </c>
      <c r="C148" s="71" t="s">
        <v>429</v>
      </c>
      <c r="D148" s="83">
        <v>1</v>
      </c>
      <c r="E148" s="72" t="s">
        <v>72</v>
      </c>
      <c r="F148" s="70" t="s">
        <v>78</v>
      </c>
      <c r="G148" s="70" t="s">
        <v>4</v>
      </c>
      <c r="H148" s="70" t="s">
        <v>93</v>
      </c>
      <c r="I148" s="70" t="s">
        <v>149</v>
      </c>
      <c r="J148" s="5">
        <v>2025</v>
      </c>
      <c r="K148" s="67">
        <v>1170</v>
      </c>
      <c r="L148" s="68">
        <v>3</v>
      </c>
      <c r="M148" s="66"/>
      <c r="N148" s="66"/>
      <c r="O148" s="66"/>
      <c r="P148" s="66"/>
      <c r="Q148" s="66"/>
      <c r="R148" s="66"/>
      <c r="S148" s="66"/>
      <c r="T148" s="65">
        <v>560</v>
      </c>
      <c r="U148" s="65">
        <v>560</v>
      </c>
      <c r="V148" s="66">
        <v>50</v>
      </c>
      <c r="W148" s="66"/>
      <c r="X148" s="65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</row>
    <row r="149" spans="1:48" ht="16" x14ac:dyDescent="0.35">
      <c r="A149" s="107" t="s">
        <v>84</v>
      </c>
      <c r="B149" s="70" t="s">
        <v>127</v>
      </c>
      <c r="C149" s="71" t="s">
        <v>457</v>
      </c>
      <c r="D149" s="83">
        <v>1</v>
      </c>
      <c r="E149" s="72" t="s">
        <v>72</v>
      </c>
      <c r="F149" s="70" t="s">
        <v>78</v>
      </c>
      <c r="G149" s="70" t="s">
        <v>4</v>
      </c>
      <c r="H149" s="70" t="s">
        <v>93</v>
      </c>
      <c r="I149" s="70" t="s">
        <v>149</v>
      </c>
      <c r="J149" s="5">
        <v>2025</v>
      </c>
      <c r="K149" s="67">
        <v>100</v>
      </c>
      <c r="L149" s="68">
        <v>1</v>
      </c>
      <c r="M149" s="66"/>
      <c r="N149" s="66"/>
      <c r="O149" s="66"/>
      <c r="P149" s="66"/>
      <c r="Q149" s="66"/>
      <c r="R149" s="66"/>
      <c r="S149" s="65">
        <f>($K149*$D149)/$L149</f>
        <v>100</v>
      </c>
      <c r="T149" s="66"/>
      <c r="U149" s="66"/>
      <c r="V149" s="66"/>
      <c r="W149" s="66"/>
      <c r="X149" s="65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</row>
    <row r="150" spans="1:48" ht="16" x14ac:dyDescent="0.35">
      <c r="A150" s="107" t="s">
        <v>84</v>
      </c>
      <c r="B150" s="70" t="s">
        <v>127</v>
      </c>
      <c r="C150" s="71" t="s">
        <v>247</v>
      </c>
      <c r="D150" s="83">
        <v>18</v>
      </c>
      <c r="E150" s="72" t="s">
        <v>72</v>
      </c>
      <c r="F150" s="70" t="s">
        <v>78</v>
      </c>
      <c r="G150" s="70" t="s">
        <v>4</v>
      </c>
      <c r="H150" s="70" t="s">
        <v>93</v>
      </c>
      <c r="I150" s="70" t="s">
        <v>149</v>
      </c>
      <c r="J150" s="5">
        <v>2025</v>
      </c>
      <c r="K150" s="67">
        <v>10</v>
      </c>
      <c r="L150" s="68">
        <v>1</v>
      </c>
      <c r="M150" s="66"/>
      <c r="N150" s="66"/>
      <c r="O150" s="66"/>
      <c r="P150" s="66"/>
      <c r="Q150" s="66"/>
      <c r="R150" s="66"/>
      <c r="S150" s="65"/>
      <c r="T150" s="65"/>
      <c r="U150" s="65"/>
      <c r="V150" s="65">
        <f>($K150*$D150)/$L150</f>
        <v>180</v>
      </c>
      <c r="W150" s="65">
        <v>60</v>
      </c>
      <c r="X150" s="65"/>
      <c r="Y150" s="66"/>
      <c r="Z150" s="65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</row>
    <row r="151" spans="1:48" ht="16" x14ac:dyDescent="0.35">
      <c r="A151" s="107" t="s">
        <v>84</v>
      </c>
      <c r="B151" s="70" t="s">
        <v>127</v>
      </c>
      <c r="C151" s="71" t="s">
        <v>248</v>
      </c>
      <c r="D151" s="83">
        <v>15</v>
      </c>
      <c r="E151" s="72" t="s">
        <v>86</v>
      </c>
      <c r="F151" s="70" t="s">
        <v>78</v>
      </c>
      <c r="G151" s="70" t="s">
        <v>4</v>
      </c>
      <c r="H151" s="70" t="s">
        <v>93</v>
      </c>
      <c r="I151" s="70" t="s">
        <v>140</v>
      </c>
      <c r="J151" s="5">
        <v>2025</v>
      </c>
      <c r="K151" s="67">
        <v>20</v>
      </c>
      <c r="L151" s="68">
        <v>2</v>
      </c>
      <c r="M151" s="66"/>
      <c r="N151" s="66"/>
      <c r="O151" s="66"/>
      <c r="P151" s="66"/>
      <c r="Q151" s="66"/>
      <c r="R151" s="66"/>
      <c r="S151" s="65"/>
      <c r="T151" s="65"/>
      <c r="U151" s="65">
        <f>($K151*$D151)/$L151</f>
        <v>150</v>
      </c>
      <c r="V151" s="65">
        <f>($K151*$D151)/$L151</f>
        <v>150</v>
      </c>
      <c r="W151" s="65"/>
      <c r="X151" s="65"/>
      <c r="Y151" s="66"/>
      <c r="Z151" s="65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</row>
    <row r="152" spans="1:48" ht="16" x14ac:dyDescent="0.35">
      <c r="A152" s="107" t="s">
        <v>84</v>
      </c>
      <c r="B152" s="70" t="s">
        <v>127</v>
      </c>
      <c r="C152" s="71" t="s">
        <v>458</v>
      </c>
      <c r="D152" s="83">
        <v>1</v>
      </c>
      <c r="E152" s="72" t="s">
        <v>72</v>
      </c>
      <c r="F152" s="70" t="s">
        <v>78</v>
      </c>
      <c r="G152" s="70" t="s">
        <v>8</v>
      </c>
      <c r="H152" s="70" t="s">
        <v>73</v>
      </c>
      <c r="I152" s="70" t="s">
        <v>151</v>
      </c>
      <c r="J152" s="5">
        <v>2026</v>
      </c>
      <c r="K152" s="67">
        <v>100</v>
      </c>
      <c r="L152" s="68">
        <v>1</v>
      </c>
      <c r="M152" s="66"/>
      <c r="N152" s="66"/>
      <c r="O152" s="66"/>
      <c r="P152" s="66"/>
      <c r="Q152" s="66"/>
      <c r="R152" s="66"/>
      <c r="S152" s="65"/>
      <c r="T152" s="65"/>
      <c r="U152" s="65"/>
      <c r="V152" s="66"/>
      <c r="W152" s="65"/>
      <c r="X152" s="65"/>
      <c r="Y152" s="66"/>
      <c r="Z152" s="65"/>
      <c r="AA152" s="65">
        <f>($K152*$D152)/$L152</f>
        <v>100</v>
      </c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</row>
    <row r="153" spans="1:48" ht="16" x14ac:dyDescent="0.35">
      <c r="A153" s="107" t="s">
        <v>84</v>
      </c>
      <c r="B153" s="70" t="s">
        <v>127</v>
      </c>
      <c r="C153" s="71" t="s">
        <v>459</v>
      </c>
      <c r="D153" s="83">
        <v>1</v>
      </c>
      <c r="E153" s="72" t="s">
        <v>72</v>
      </c>
      <c r="F153" s="70" t="s">
        <v>78</v>
      </c>
      <c r="G153" s="70" t="s">
        <v>8</v>
      </c>
      <c r="H153" s="70" t="s">
        <v>73</v>
      </c>
      <c r="I153" s="70" t="s">
        <v>151</v>
      </c>
      <c r="J153" s="5">
        <v>2026</v>
      </c>
      <c r="K153" s="67">
        <v>100</v>
      </c>
      <c r="L153" s="68">
        <v>1</v>
      </c>
      <c r="M153" s="66"/>
      <c r="N153" s="66"/>
      <c r="O153" s="66"/>
      <c r="P153" s="66"/>
      <c r="Q153" s="66"/>
      <c r="R153" s="66"/>
      <c r="S153" s="65"/>
      <c r="T153" s="65"/>
      <c r="U153" s="65"/>
      <c r="V153" s="66"/>
      <c r="W153" s="65"/>
      <c r="X153" s="65"/>
      <c r="Y153" s="66"/>
      <c r="Z153" s="65"/>
      <c r="AA153" s="65">
        <f>($K153*$D153)/$L153</f>
        <v>100</v>
      </c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</row>
    <row r="154" spans="1:48" ht="16" x14ac:dyDescent="0.35">
      <c r="A154" s="107" t="s">
        <v>84</v>
      </c>
      <c r="B154" s="70" t="s">
        <v>127</v>
      </c>
      <c r="C154" s="71" t="s">
        <v>460</v>
      </c>
      <c r="D154" s="83">
        <v>1</v>
      </c>
      <c r="E154" s="72" t="s">
        <v>72</v>
      </c>
      <c r="F154" s="70" t="s">
        <v>78</v>
      </c>
      <c r="G154" s="70" t="s">
        <v>8</v>
      </c>
      <c r="H154" s="70" t="s">
        <v>73</v>
      </c>
      <c r="I154" s="70" t="s">
        <v>151</v>
      </c>
      <c r="J154" s="5">
        <v>2026</v>
      </c>
      <c r="K154" s="67">
        <v>100</v>
      </c>
      <c r="L154" s="68">
        <v>1</v>
      </c>
      <c r="M154" s="66"/>
      <c r="N154" s="66"/>
      <c r="O154" s="66"/>
      <c r="P154" s="66"/>
      <c r="Q154" s="66"/>
      <c r="R154" s="66"/>
      <c r="S154" s="65"/>
      <c r="T154" s="65"/>
      <c r="U154" s="65"/>
      <c r="V154" s="66"/>
      <c r="W154" s="65"/>
      <c r="X154" s="65"/>
      <c r="Y154" s="66"/>
      <c r="Z154" s="65"/>
      <c r="AA154" s="65">
        <f>($K154*$D154)/$L154</f>
        <v>100</v>
      </c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</row>
    <row r="155" spans="1:48" ht="16" x14ac:dyDescent="0.35">
      <c r="A155" s="107" t="s">
        <v>84</v>
      </c>
      <c r="B155" s="70" t="s">
        <v>127</v>
      </c>
      <c r="C155" s="71" t="s">
        <v>457</v>
      </c>
      <c r="D155" s="83">
        <v>1</v>
      </c>
      <c r="E155" s="72" t="s">
        <v>86</v>
      </c>
      <c r="F155" s="70" t="s">
        <v>78</v>
      </c>
      <c r="G155" s="70" t="s">
        <v>4</v>
      </c>
      <c r="H155" s="70" t="s">
        <v>87</v>
      </c>
      <c r="I155" s="70" t="s">
        <v>149</v>
      </c>
      <c r="J155" s="5">
        <v>2025</v>
      </c>
      <c r="K155" s="67">
        <v>60</v>
      </c>
      <c r="L155" s="68">
        <v>1</v>
      </c>
      <c r="M155" s="66"/>
      <c r="N155" s="66"/>
      <c r="O155" s="66"/>
      <c r="P155" s="66"/>
      <c r="Q155" s="66"/>
      <c r="R155" s="66"/>
      <c r="S155" s="65"/>
      <c r="T155" s="65"/>
      <c r="U155" s="65"/>
      <c r="V155" s="66"/>
      <c r="W155" s="65"/>
      <c r="X155" s="65">
        <f>($K155*$D155)/$L155</f>
        <v>60</v>
      </c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</row>
    <row r="156" spans="1:48" ht="16" x14ac:dyDescent="0.35">
      <c r="A156" s="108" t="s">
        <v>84</v>
      </c>
      <c r="B156" s="72" t="s">
        <v>125</v>
      </c>
      <c r="C156" s="71" t="s">
        <v>462</v>
      </c>
      <c r="D156" s="83">
        <v>1</v>
      </c>
      <c r="E156" s="72" t="s">
        <v>79</v>
      </c>
      <c r="F156" s="70" t="s">
        <v>78</v>
      </c>
      <c r="G156" s="70" t="s">
        <v>4</v>
      </c>
      <c r="H156" s="70" t="s">
        <v>93</v>
      </c>
      <c r="I156" s="70" t="s">
        <v>149</v>
      </c>
      <c r="J156" s="5">
        <v>2025</v>
      </c>
      <c r="K156" s="67">
        <v>400</v>
      </c>
      <c r="L156" s="68">
        <v>2</v>
      </c>
      <c r="M156" s="66"/>
      <c r="N156" s="66"/>
      <c r="O156" s="66"/>
      <c r="P156" s="66"/>
      <c r="Q156" s="66"/>
      <c r="R156" s="66"/>
      <c r="S156" s="65"/>
      <c r="T156" s="65">
        <f>($K156*$D156)/$L156</f>
        <v>200</v>
      </c>
      <c r="U156" s="65">
        <f>($K156*$D156)/$L156</f>
        <v>200</v>
      </c>
      <c r="V156" s="66"/>
      <c r="W156" s="66"/>
      <c r="X156" s="65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</row>
    <row r="157" spans="1:48" ht="16" x14ac:dyDescent="0.35">
      <c r="A157" s="108" t="s">
        <v>70</v>
      </c>
      <c r="B157" s="72" t="s">
        <v>76</v>
      </c>
      <c r="C157" s="71" t="s">
        <v>442</v>
      </c>
      <c r="D157" s="83">
        <v>1</v>
      </c>
      <c r="E157" s="72" t="s">
        <v>72</v>
      </c>
      <c r="F157" s="70" t="s">
        <v>78</v>
      </c>
      <c r="G157" s="70" t="s">
        <v>4</v>
      </c>
      <c r="H157" s="70" t="s">
        <v>93</v>
      </c>
      <c r="I157" s="70" t="s">
        <v>149</v>
      </c>
      <c r="J157" s="5">
        <v>2025</v>
      </c>
      <c r="K157" s="67">
        <v>100</v>
      </c>
      <c r="L157" s="68">
        <v>1</v>
      </c>
      <c r="M157" s="66"/>
      <c r="N157" s="66"/>
      <c r="O157" s="66"/>
      <c r="P157" s="66"/>
      <c r="Q157" s="66"/>
      <c r="R157" s="66"/>
      <c r="S157" s="65"/>
      <c r="T157" s="65">
        <f>($K157*$D157)/$L157</f>
        <v>100</v>
      </c>
      <c r="U157" s="66"/>
      <c r="V157" s="66"/>
      <c r="W157" s="66"/>
      <c r="X157" s="65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</row>
    <row r="158" spans="1:48" ht="16" x14ac:dyDescent="0.35">
      <c r="A158" s="107" t="s">
        <v>77</v>
      </c>
      <c r="B158" s="105" t="s">
        <v>121</v>
      </c>
      <c r="C158" s="71" t="s">
        <v>428</v>
      </c>
      <c r="D158" s="83">
        <v>1</v>
      </c>
      <c r="E158" s="72" t="s">
        <v>72</v>
      </c>
      <c r="F158" s="70" t="s">
        <v>78</v>
      </c>
      <c r="G158" s="70" t="s">
        <v>4</v>
      </c>
      <c r="H158" s="70" t="s">
        <v>87</v>
      </c>
      <c r="I158" s="70" t="s">
        <v>149</v>
      </c>
      <c r="J158" s="5">
        <v>2026</v>
      </c>
      <c r="K158" s="67">
        <v>960</v>
      </c>
      <c r="L158" s="68">
        <v>3</v>
      </c>
      <c r="M158" s="66"/>
      <c r="N158" s="66"/>
      <c r="O158" s="66"/>
      <c r="P158" s="66"/>
      <c r="Q158" s="66"/>
      <c r="R158" s="66"/>
      <c r="S158" s="66"/>
      <c r="T158" s="66"/>
      <c r="U158" s="65"/>
      <c r="V158" s="65"/>
      <c r="W158" s="65"/>
      <c r="X158" s="65"/>
      <c r="Y158" s="65">
        <v>300</v>
      </c>
      <c r="Z158" s="65">
        <v>380</v>
      </c>
      <c r="AA158" s="65">
        <v>280</v>
      </c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</row>
    <row r="159" spans="1:48" ht="16" x14ac:dyDescent="0.35">
      <c r="A159" s="107" t="s">
        <v>77</v>
      </c>
      <c r="B159" s="105" t="s">
        <v>121</v>
      </c>
      <c r="C159" s="71" t="s">
        <v>428</v>
      </c>
      <c r="D159" s="83">
        <v>1</v>
      </c>
      <c r="E159" s="72" t="s">
        <v>79</v>
      </c>
      <c r="F159" s="70" t="s">
        <v>78</v>
      </c>
      <c r="G159" s="70" t="s">
        <v>8</v>
      </c>
      <c r="H159" s="70" t="s">
        <v>73</v>
      </c>
      <c r="I159" s="70" t="s">
        <v>155</v>
      </c>
      <c r="J159" s="5">
        <v>2026</v>
      </c>
      <c r="K159" s="67">
        <v>800</v>
      </c>
      <c r="L159" s="68">
        <v>3</v>
      </c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5"/>
      <c r="Y159" s="65"/>
      <c r="Z159" s="65"/>
      <c r="AA159" s="65"/>
      <c r="AB159" s="65"/>
      <c r="AC159" s="65">
        <f>($K159*$D159)/$L159</f>
        <v>266.66666666666669</v>
      </c>
      <c r="AD159" s="65">
        <f>($K159*$D159)/$L159</f>
        <v>266.66666666666669</v>
      </c>
      <c r="AE159" s="65">
        <f>($K159*$D159)/$L159</f>
        <v>266.66666666666669</v>
      </c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</row>
    <row r="160" spans="1:48" ht="16.5" customHeight="1" x14ac:dyDescent="0.35">
      <c r="A160" s="108" t="s">
        <v>70</v>
      </c>
      <c r="B160" s="72" t="s">
        <v>76</v>
      </c>
      <c r="C160" s="71" t="s">
        <v>475</v>
      </c>
      <c r="D160" s="83">
        <v>1</v>
      </c>
      <c r="E160" s="72" t="s">
        <v>71</v>
      </c>
      <c r="F160" s="70" t="s">
        <v>71</v>
      </c>
      <c r="G160" s="70" t="s">
        <v>4</v>
      </c>
      <c r="H160" s="70" t="s">
        <v>93</v>
      </c>
      <c r="I160" s="70" t="s">
        <v>149</v>
      </c>
      <c r="J160" s="5">
        <v>2025</v>
      </c>
      <c r="K160" s="67">
        <v>1168</v>
      </c>
      <c r="L160" s="68">
        <v>3</v>
      </c>
      <c r="M160" s="66"/>
      <c r="N160" s="66"/>
      <c r="O160" s="66"/>
      <c r="P160" s="66"/>
      <c r="Q160" s="66"/>
      <c r="R160" s="66"/>
      <c r="S160" s="66"/>
      <c r="T160" s="65">
        <f>($K160*$D160)/$L160</f>
        <v>389.33333333333331</v>
      </c>
      <c r="U160" s="65">
        <f>($K160*$D160)/$L160</f>
        <v>389.33333333333331</v>
      </c>
      <c r="V160" s="65">
        <v>139</v>
      </c>
      <c r="W160" s="66">
        <v>150</v>
      </c>
      <c r="X160" s="65">
        <v>100</v>
      </c>
      <c r="Y160" s="66">
        <v>170</v>
      </c>
      <c r="Z160" s="66">
        <v>130</v>
      </c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</row>
    <row r="161" spans="1:48" ht="16.5" customHeight="1" x14ac:dyDescent="0.35">
      <c r="A161" s="107" t="s">
        <v>77</v>
      </c>
      <c r="B161" s="69" t="s">
        <v>121</v>
      </c>
      <c r="C161" s="71" t="s">
        <v>430</v>
      </c>
      <c r="D161" s="83">
        <v>1</v>
      </c>
      <c r="E161" s="72" t="s">
        <v>79</v>
      </c>
      <c r="F161" s="70" t="s">
        <v>78</v>
      </c>
      <c r="G161" s="70" t="s">
        <v>8</v>
      </c>
      <c r="H161" s="70" t="s">
        <v>73</v>
      </c>
      <c r="I161" s="70" t="s">
        <v>151</v>
      </c>
      <c r="J161" s="5">
        <v>2026</v>
      </c>
      <c r="K161" s="67">
        <v>800</v>
      </c>
      <c r="L161" s="68">
        <v>3</v>
      </c>
      <c r="M161" s="66"/>
      <c r="N161" s="66"/>
      <c r="O161" s="66"/>
      <c r="P161" s="66"/>
      <c r="Q161" s="66"/>
      <c r="R161" s="66"/>
      <c r="S161" s="66"/>
      <c r="T161" s="66"/>
      <c r="U161" s="66"/>
      <c r="V161" s="65"/>
      <c r="W161" s="65"/>
      <c r="X161" s="65"/>
      <c r="Y161" s="65"/>
      <c r="Z161" s="65"/>
      <c r="AA161" s="65">
        <f>($K161*$D161)/$L161</f>
        <v>266.66666666666669</v>
      </c>
      <c r="AB161" s="65">
        <f>($K161*$D161)/$L161</f>
        <v>266.66666666666669</v>
      </c>
      <c r="AC161" s="65">
        <f>($K161*$D161)/$L161</f>
        <v>266.66666666666669</v>
      </c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</row>
    <row r="162" spans="1:48" ht="16.5" customHeight="1" x14ac:dyDescent="0.35">
      <c r="A162" s="108" t="s">
        <v>84</v>
      </c>
      <c r="B162" s="72" t="s">
        <v>125</v>
      </c>
      <c r="C162" s="71" t="s">
        <v>249</v>
      </c>
      <c r="D162" s="83">
        <v>52</v>
      </c>
      <c r="E162" s="72" t="s">
        <v>98</v>
      </c>
      <c r="F162" s="70" t="s">
        <v>85</v>
      </c>
      <c r="G162" s="70" t="s">
        <v>4</v>
      </c>
      <c r="H162" s="70" t="s">
        <v>93</v>
      </c>
      <c r="I162" s="70" t="s">
        <v>149</v>
      </c>
      <c r="J162" s="5">
        <v>2025</v>
      </c>
      <c r="K162" s="67">
        <v>120</v>
      </c>
      <c r="L162" s="68">
        <v>1</v>
      </c>
      <c r="M162" s="66"/>
      <c r="N162" s="66"/>
      <c r="O162" s="66"/>
      <c r="P162" s="66"/>
      <c r="Q162" s="66"/>
      <c r="R162" s="66"/>
      <c r="S162" s="66"/>
      <c r="T162" s="65"/>
      <c r="U162" s="66">
        <f>($K162*$D162)/$L162</f>
        <v>6240</v>
      </c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</row>
    <row r="163" spans="1:48" ht="16.5" customHeight="1" x14ac:dyDescent="0.35">
      <c r="A163" s="108" t="s">
        <v>84</v>
      </c>
      <c r="B163" s="72" t="s">
        <v>125</v>
      </c>
      <c r="C163" s="71" t="s">
        <v>250</v>
      </c>
      <c r="D163" s="83">
        <v>76</v>
      </c>
      <c r="E163" s="72" t="s">
        <v>98</v>
      </c>
      <c r="F163" s="70" t="s">
        <v>85</v>
      </c>
      <c r="G163" s="70" t="s">
        <v>4</v>
      </c>
      <c r="H163" s="70" t="s">
        <v>93</v>
      </c>
      <c r="I163" s="70" t="s">
        <v>149</v>
      </c>
      <c r="J163" s="5">
        <v>2025</v>
      </c>
      <c r="K163" s="67">
        <v>50</v>
      </c>
      <c r="L163" s="68">
        <v>2</v>
      </c>
      <c r="M163" s="66"/>
      <c r="N163" s="66"/>
      <c r="O163" s="66"/>
      <c r="P163" s="66"/>
      <c r="Q163" s="66"/>
      <c r="R163" s="66"/>
      <c r="S163" s="66"/>
      <c r="T163" s="65">
        <f>($K163*$D163)/$L163</f>
        <v>1900</v>
      </c>
      <c r="U163" s="65">
        <f>($K163*$D163)/$L163</f>
        <v>1900</v>
      </c>
      <c r="V163" s="66"/>
      <c r="W163" s="66"/>
      <c r="X163" s="65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</row>
    <row r="164" spans="1:48" ht="16.5" customHeight="1" x14ac:dyDescent="0.35">
      <c r="A164" s="107" t="s">
        <v>84</v>
      </c>
      <c r="B164" s="72" t="s">
        <v>125</v>
      </c>
      <c r="C164" s="71" t="s">
        <v>463</v>
      </c>
      <c r="D164" s="83">
        <v>1</v>
      </c>
      <c r="E164" s="72" t="s">
        <v>98</v>
      </c>
      <c r="F164" s="70" t="s">
        <v>85</v>
      </c>
      <c r="G164" s="70" t="s">
        <v>4</v>
      </c>
      <c r="H164" s="70" t="s">
        <v>93</v>
      </c>
      <c r="I164" s="70" t="s">
        <v>149</v>
      </c>
      <c r="J164" s="5">
        <v>2025</v>
      </c>
      <c r="K164" s="67">
        <v>100</v>
      </c>
      <c r="L164" s="68">
        <v>2</v>
      </c>
      <c r="M164" s="66"/>
      <c r="N164" s="66"/>
      <c r="O164" s="66"/>
      <c r="P164" s="66"/>
      <c r="Q164" s="66"/>
      <c r="R164" s="66"/>
      <c r="S164" s="66"/>
      <c r="T164" s="66">
        <f>($K164*$D164)/$L164</f>
        <v>50</v>
      </c>
      <c r="U164" s="66">
        <f>($K164*$D164)/$L164</f>
        <v>50</v>
      </c>
      <c r="V164" s="66"/>
      <c r="W164" s="66"/>
      <c r="X164" s="65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</row>
    <row r="165" spans="1:48" ht="16.5" customHeight="1" x14ac:dyDescent="0.35">
      <c r="A165" s="107" t="s">
        <v>77</v>
      </c>
      <c r="B165" s="105" t="s">
        <v>121</v>
      </c>
      <c r="C165" s="71" t="s">
        <v>469</v>
      </c>
      <c r="D165" s="83">
        <v>1</v>
      </c>
      <c r="E165" s="72" t="s">
        <v>98</v>
      </c>
      <c r="F165" s="70" t="s">
        <v>85</v>
      </c>
      <c r="G165" s="70" t="s">
        <v>4</v>
      </c>
      <c r="H165" s="70" t="s">
        <v>93</v>
      </c>
      <c r="I165" s="70" t="s">
        <v>149</v>
      </c>
      <c r="J165" s="5">
        <v>2025</v>
      </c>
      <c r="K165" s="67">
        <v>250</v>
      </c>
      <c r="L165" s="68">
        <v>1</v>
      </c>
      <c r="M165" s="66"/>
      <c r="N165" s="66"/>
      <c r="O165" s="66"/>
      <c r="P165" s="66"/>
      <c r="Q165" s="66"/>
      <c r="R165" s="66"/>
      <c r="S165" s="66"/>
      <c r="T165" s="65">
        <f>($K165*$D165)/$L165</f>
        <v>250</v>
      </c>
      <c r="U165" s="66"/>
      <c r="V165" s="66"/>
      <c r="W165" s="66"/>
      <c r="X165" s="65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</row>
    <row r="166" spans="1:48" ht="16.5" customHeight="1" x14ac:dyDescent="0.35">
      <c r="A166" s="107" t="s">
        <v>84</v>
      </c>
      <c r="B166" s="72" t="s">
        <v>125</v>
      </c>
      <c r="C166" s="71" t="s">
        <v>464</v>
      </c>
      <c r="D166" s="83">
        <v>2</v>
      </c>
      <c r="E166" s="72" t="s">
        <v>98</v>
      </c>
      <c r="F166" s="70" t="s">
        <v>85</v>
      </c>
      <c r="G166" s="70" t="s">
        <v>4</v>
      </c>
      <c r="H166" s="70" t="s">
        <v>93</v>
      </c>
      <c r="I166" s="70" t="s">
        <v>149</v>
      </c>
      <c r="J166" s="5">
        <v>2025</v>
      </c>
      <c r="K166" s="67">
        <v>200</v>
      </c>
      <c r="L166" s="68">
        <v>2</v>
      </c>
      <c r="M166" s="66"/>
      <c r="N166" s="66"/>
      <c r="O166" s="66"/>
      <c r="P166" s="66"/>
      <c r="Q166" s="66"/>
      <c r="R166" s="66"/>
      <c r="S166" s="66"/>
      <c r="T166" s="66">
        <f>($K166*$D166)/$L166</f>
        <v>200</v>
      </c>
      <c r="U166" s="66">
        <f>($K166*$D166)/$L166</f>
        <v>200</v>
      </c>
      <c r="V166" s="66"/>
      <c r="W166" s="66"/>
      <c r="X166" s="65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</row>
    <row r="167" spans="1:48" ht="16.5" customHeight="1" x14ac:dyDescent="0.35">
      <c r="A167" s="108" t="s">
        <v>97</v>
      </c>
      <c r="B167" s="72" t="s">
        <v>156</v>
      </c>
      <c r="C167" s="71" t="s">
        <v>251</v>
      </c>
      <c r="D167" s="83">
        <v>2</v>
      </c>
      <c r="E167" s="72" t="s">
        <v>72</v>
      </c>
      <c r="F167" s="70" t="s">
        <v>85</v>
      </c>
      <c r="G167" s="70" t="s">
        <v>4</v>
      </c>
      <c r="H167" s="70" t="s">
        <v>93</v>
      </c>
      <c r="I167" s="70" t="s">
        <v>149</v>
      </c>
      <c r="J167" s="5">
        <v>2025</v>
      </c>
      <c r="K167" s="67">
        <v>150</v>
      </c>
      <c r="L167" s="68">
        <v>2</v>
      </c>
      <c r="M167" s="66"/>
      <c r="N167" s="66"/>
      <c r="O167" s="66"/>
      <c r="P167" s="66"/>
      <c r="Q167" s="66"/>
      <c r="R167" s="66"/>
      <c r="S167" s="66"/>
      <c r="T167" s="66"/>
      <c r="U167" s="66">
        <v>50</v>
      </c>
      <c r="V167" s="66">
        <v>100</v>
      </c>
      <c r="W167" s="66"/>
      <c r="X167" s="65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</row>
    <row r="168" spans="1:48" ht="16.5" customHeight="1" x14ac:dyDescent="0.35">
      <c r="A168" s="108" t="s">
        <v>70</v>
      </c>
      <c r="B168" s="72" t="s">
        <v>76</v>
      </c>
      <c r="C168" s="71" t="s">
        <v>418</v>
      </c>
      <c r="D168" s="83">
        <v>1</v>
      </c>
      <c r="E168" s="72" t="s">
        <v>71</v>
      </c>
      <c r="F168" s="70" t="s">
        <v>71</v>
      </c>
      <c r="G168" s="70" t="s">
        <v>8</v>
      </c>
      <c r="H168" s="70" t="s">
        <v>73</v>
      </c>
      <c r="I168" s="70" t="s">
        <v>161</v>
      </c>
      <c r="J168" s="5">
        <v>2026</v>
      </c>
      <c r="K168" s="67">
        <v>1168</v>
      </c>
      <c r="L168" s="68">
        <v>3</v>
      </c>
      <c r="M168" s="66"/>
      <c r="N168" s="66"/>
      <c r="O168" s="66"/>
      <c r="P168" s="65"/>
      <c r="Q168" s="65"/>
      <c r="R168" s="65"/>
      <c r="S168" s="66"/>
      <c r="T168" s="66"/>
      <c r="U168" s="66"/>
      <c r="V168" s="66"/>
      <c r="W168" s="66"/>
      <c r="X168" s="65"/>
      <c r="Y168" s="66"/>
      <c r="Z168" s="66"/>
      <c r="AA168" s="66"/>
      <c r="AB168" s="65"/>
      <c r="AC168" s="65"/>
      <c r="AD168" s="65"/>
      <c r="AE168" s="66"/>
      <c r="AF168" s="65">
        <f>($K168*$D168)/$L168</f>
        <v>389.33333333333331</v>
      </c>
      <c r="AG168" s="65">
        <f>($K168*$D168)/$L168</f>
        <v>389.33333333333331</v>
      </c>
      <c r="AH168" s="65">
        <f>($K168*$D168)/$L168</f>
        <v>389.33333333333331</v>
      </c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</row>
    <row r="169" spans="1:48" ht="16.5" customHeight="1" x14ac:dyDescent="0.35">
      <c r="A169" s="108" t="s">
        <v>70</v>
      </c>
      <c r="B169" s="72" t="s">
        <v>76</v>
      </c>
      <c r="C169" s="71" t="s">
        <v>544</v>
      </c>
      <c r="D169" s="83">
        <v>1</v>
      </c>
      <c r="E169" s="72" t="s">
        <v>71</v>
      </c>
      <c r="F169" s="70" t="s">
        <v>71</v>
      </c>
      <c r="G169" s="70" t="s">
        <v>8</v>
      </c>
      <c r="H169" s="70" t="s">
        <v>73</v>
      </c>
      <c r="I169" s="70" t="s">
        <v>155</v>
      </c>
      <c r="J169" s="5">
        <v>2026</v>
      </c>
      <c r="K169" s="67">
        <v>1168</v>
      </c>
      <c r="L169" s="68">
        <v>3</v>
      </c>
      <c r="M169" s="66"/>
      <c r="N169" s="66"/>
      <c r="O169" s="66"/>
      <c r="P169" s="65"/>
      <c r="Q169" s="65"/>
      <c r="R169" s="65"/>
      <c r="S169" s="66"/>
      <c r="T169" s="66"/>
      <c r="U169" s="66"/>
      <c r="V169" s="66"/>
      <c r="W169" s="66"/>
      <c r="X169" s="65"/>
      <c r="Y169" s="66"/>
      <c r="Z169" s="66"/>
      <c r="AA169" s="66"/>
      <c r="AB169" s="65"/>
      <c r="AC169" s="65">
        <f>($K169*$D169)/$L169</f>
        <v>389.33333333333331</v>
      </c>
      <c r="AD169" s="65">
        <f>($K169*$D169)/$L169</f>
        <v>389.33333333333331</v>
      </c>
      <c r="AE169" s="65">
        <f>($K169*$D169)/$L169</f>
        <v>389.33333333333331</v>
      </c>
      <c r="AF169" s="65"/>
      <c r="AG169" s="65"/>
      <c r="AH169" s="65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</row>
    <row r="170" spans="1:48" ht="16.5" customHeight="1" x14ac:dyDescent="0.35">
      <c r="A170" s="108" t="s">
        <v>70</v>
      </c>
      <c r="B170" s="72" t="s">
        <v>76</v>
      </c>
      <c r="C170" s="71" t="s">
        <v>419</v>
      </c>
      <c r="D170" s="83">
        <v>1</v>
      </c>
      <c r="E170" s="72" t="s">
        <v>71</v>
      </c>
      <c r="F170" s="70" t="s">
        <v>71</v>
      </c>
      <c r="G170" s="70" t="s">
        <v>8</v>
      </c>
      <c r="H170" s="70" t="s">
        <v>73</v>
      </c>
      <c r="I170" s="70" t="s">
        <v>159</v>
      </c>
      <c r="J170" s="5">
        <v>2026</v>
      </c>
      <c r="K170" s="67">
        <v>1168</v>
      </c>
      <c r="L170" s="68">
        <v>3</v>
      </c>
      <c r="M170" s="66"/>
      <c r="N170" s="66"/>
      <c r="O170" s="66"/>
      <c r="P170" s="65"/>
      <c r="Q170" s="65"/>
      <c r="R170" s="65"/>
      <c r="S170" s="66"/>
      <c r="T170" s="66"/>
      <c r="U170" s="66"/>
      <c r="V170" s="66"/>
      <c r="W170" s="66"/>
      <c r="X170" s="65"/>
      <c r="Y170" s="66"/>
      <c r="Z170" s="66"/>
      <c r="AA170" s="66"/>
      <c r="AB170" s="65"/>
      <c r="AC170" s="65"/>
      <c r="AD170" s="65"/>
      <c r="AE170" s="65">
        <f>($K170*$D170)/$L170</f>
        <v>389.33333333333331</v>
      </c>
      <c r="AF170" s="65">
        <f>($K170*$D170)/$L170</f>
        <v>389.33333333333331</v>
      </c>
      <c r="AG170" s="65">
        <f>($K170*$D170)/$L170</f>
        <v>389.33333333333331</v>
      </c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</row>
    <row r="171" spans="1:48" ht="16.5" customHeight="1" x14ac:dyDescent="0.35">
      <c r="A171" s="108" t="s">
        <v>70</v>
      </c>
      <c r="B171" s="72" t="s">
        <v>76</v>
      </c>
      <c r="C171" s="71" t="s">
        <v>620</v>
      </c>
      <c r="D171" s="83">
        <v>1</v>
      </c>
      <c r="E171" s="72" t="s">
        <v>71</v>
      </c>
      <c r="F171" s="70" t="s">
        <v>71</v>
      </c>
      <c r="G171" s="70" t="s">
        <v>8</v>
      </c>
      <c r="H171" s="70" t="s">
        <v>73</v>
      </c>
      <c r="I171" s="70" t="s">
        <v>151</v>
      </c>
      <c r="J171" s="5">
        <v>2026</v>
      </c>
      <c r="K171" s="67">
        <v>1168</v>
      </c>
      <c r="L171" s="68">
        <v>3</v>
      </c>
      <c r="M171" s="65"/>
      <c r="N171" s="65"/>
      <c r="O171" s="65"/>
      <c r="P171" s="66"/>
      <c r="Q171" s="66"/>
      <c r="R171" s="66"/>
      <c r="S171" s="66"/>
      <c r="T171" s="66"/>
      <c r="U171" s="66"/>
      <c r="V171" s="66"/>
      <c r="W171" s="66"/>
      <c r="X171" s="65"/>
      <c r="Y171" s="65"/>
      <c r="Z171" s="65"/>
      <c r="AA171" s="65">
        <f t="shared" ref="AA171:AC172" si="3">($K171*$D171)/$L171</f>
        <v>389.33333333333331</v>
      </c>
      <c r="AB171" s="65">
        <f t="shared" si="3"/>
        <v>389.33333333333331</v>
      </c>
      <c r="AC171" s="65">
        <f t="shared" si="3"/>
        <v>389.33333333333331</v>
      </c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</row>
    <row r="172" spans="1:48" ht="16.5" customHeight="1" x14ac:dyDescent="0.35">
      <c r="A172" s="108" t="s">
        <v>77</v>
      </c>
      <c r="B172" s="72" t="s">
        <v>139</v>
      </c>
      <c r="C172" s="71" t="s">
        <v>433</v>
      </c>
      <c r="D172" s="83">
        <v>1</v>
      </c>
      <c r="E172" s="72" t="s">
        <v>71</v>
      </c>
      <c r="F172" s="70" t="s">
        <v>71</v>
      </c>
      <c r="G172" s="70" t="s">
        <v>8</v>
      </c>
      <c r="H172" s="70" t="s">
        <v>73</v>
      </c>
      <c r="I172" s="70" t="s">
        <v>151</v>
      </c>
      <c r="J172" s="5">
        <v>2026</v>
      </c>
      <c r="K172" s="67">
        <v>704</v>
      </c>
      <c r="L172" s="68">
        <v>3</v>
      </c>
      <c r="M172" s="65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5"/>
      <c r="Y172" s="65"/>
      <c r="Z172" s="65"/>
      <c r="AA172" s="65">
        <f t="shared" si="3"/>
        <v>234.66666666666666</v>
      </c>
      <c r="AB172" s="65">
        <f t="shared" si="3"/>
        <v>234.66666666666666</v>
      </c>
      <c r="AC172" s="65">
        <f t="shared" si="3"/>
        <v>234.66666666666666</v>
      </c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</row>
    <row r="173" spans="1:48" ht="16.5" customHeight="1" x14ac:dyDescent="0.35">
      <c r="A173" s="108" t="s">
        <v>84</v>
      </c>
      <c r="B173" s="72" t="s">
        <v>125</v>
      </c>
      <c r="C173" s="71" t="s">
        <v>529</v>
      </c>
      <c r="D173" s="83">
        <v>52</v>
      </c>
      <c r="E173" s="72" t="s">
        <v>98</v>
      </c>
      <c r="F173" s="70" t="s">
        <v>85</v>
      </c>
      <c r="G173" s="70" t="s">
        <v>4</v>
      </c>
      <c r="H173" s="70" t="s">
        <v>93</v>
      </c>
      <c r="I173" s="70" t="s">
        <v>149</v>
      </c>
      <c r="J173" s="5">
        <v>2025</v>
      </c>
      <c r="K173" s="67">
        <v>35</v>
      </c>
      <c r="L173" s="68">
        <v>1</v>
      </c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>
        <f>($K173*$D173)/$L173</f>
        <v>1820</v>
      </c>
      <c r="X173" s="66"/>
      <c r="Y173" s="65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</row>
    <row r="174" spans="1:48" ht="16.5" customHeight="1" x14ac:dyDescent="0.35">
      <c r="A174" s="108" t="s">
        <v>84</v>
      </c>
      <c r="B174" s="72" t="s">
        <v>125</v>
      </c>
      <c r="C174" s="71" t="s">
        <v>530</v>
      </c>
      <c r="D174" s="83">
        <v>20</v>
      </c>
      <c r="E174" s="72" t="s">
        <v>98</v>
      </c>
      <c r="F174" s="70" t="s">
        <v>85</v>
      </c>
      <c r="G174" s="70" t="s">
        <v>4</v>
      </c>
      <c r="H174" s="70" t="s">
        <v>93</v>
      </c>
      <c r="I174" s="70" t="s">
        <v>144</v>
      </c>
      <c r="J174" s="5">
        <v>2025</v>
      </c>
      <c r="K174" s="67">
        <v>30</v>
      </c>
      <c r="L174" s="68">
        <v>1</v>
      </c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>
        <f>($K174*$D174)/$L174</f>
        <v>600</v>
      </c>
      <c r="X174" s="66"/>
      <c r="Y174" s="65"/>
      <c r="Z174" s="65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</row>
    <row r="175" spans="1:48" ht="16.5" customHeight="1" x14ac:dyDescent="0.35">
      <c r="A175" s="108" t="s">
        <v>84</v>
      </c>
      <c r="B175" s="72" t="s">
        <v>125</v>
      </c>
      <c r="C175" s="71" t="s">
        <v>531</v>
      </c>
      <c r="D175" s="83">
        <v>12</v>
      </c>
      <c r="E175" s="72" t="s">
        <v>98</v>
      </c>
      <c r="F175" s="70" t="s">
        <v>85</v>
      </c>
      <c r="G175" s="70" t="s">
        <v>4</v>
      </c>
      <c r="H175" s="70" t="s">
        <v>93</v>
      </c>
      <c r="I175" s="70" t="s">
        <v>146</v>
      </c>
      <c r="J175" s="5">
        <v>2025</v>
      </c>
      <c r="K175" s="67">
        <v>30</v>
      </c>
      <c r="L175" s="68">
        <v>2</v>
      </c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5">
        <f>($K175*$D175)/$L175</f>
        <v>180</v>
      </c>
      <c r="Y175" s="65">
        <f>($K175*$D175)/$L175</f>
        <v>180</v>
      </c>
      <c r="Z175" s="65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</row>
    <row r="176" spans="1:48" ht="16.5" customHeight="1" x14ac:dyDescent="0.35">
      <c r="A176" s="108" t="s">
        <v>84</v>
      </c>
      <c r="B176" s="148" t="s">
        <v>125</v>
      </c>
      <c r="C176" s="146" t="s">
        <v>575</v>
      </c>
      <c r="D176" s="147">
        <v>4</v>
      </c>
      <c r="E176" s="148" t="s">
        <v>98</v>
      </c>
      <c r="F176" s="149" t="s">
        <v>85</v>
      </c>
      <c r="G176" s="149" t="s">
        <v>4</v>
      </c>
      <c r="H176" s="149" t="s">
        <v>93</v>
      </c>
      <c r="I176" s="149" t="s">
        <v>148</v>
      </c>
      <c r="J176" s="150">
        <v>2026</v>
      </c>
      <c r="K176" s="151">
        <v>330</v>
      </c>
      <c r="L176" s="152">
        <v>1</v>
      </c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5"/>
      <c r="Y176" s="65">
        <f>($K176*$D176)/$L176</f>
        <v>1320</v>
      </c>
      <c r="Z176" s="65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</row>
    <row r="177" spans="1:48" ht="16.5" customHeight="1" x14ac:dyDescent="0.35">
      <c r="A177" s="108" t="s">
        <v>84</v>
      </c>
      <c r="B177" s="148" t="s">
        <v>125</v>
      </c>
      <c r="C177" s="146" t="s">
        <v>532</v>
      </c>
      <c r="D177" s="147">
        <v>52</v>
      </c>
      <c r="E177" s="148" t="s">
        <v>98</v>
      </c>
      <c r="F177" s="149" t="s">
        <v>85</v>
      </c>
      <c r="G177" s="149" t="s">
        <v>4</v>
      </c>
      <c r="H177" s="149" t="s">
        <v>93</v>
      </c>
      <c r="I177" s="149" t="s">
        <v>148</v>
      </c>
      <c r="J177" s="150">
        <v>2026</v>
      </c>
      <c r="K177" s="151">
        <v>33</v>
      </c>
      <c r="L177" s="152">
        <v>1</v>
      </c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5"/>
      <c r="Y177" s="65">
        <f>($K177*$D177)/$L177</f>
        <v>1716</v>
      </c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</row>
    <row r="178" spans="1:48" ht="16.5" customHeight="1" x14ac:dyDescent="0.35">
      <c r="A178" s="108" t="s">
        <v>84</v>
      </c>
      <c r="B178" s="148" t="s">
        <v>125</v>
      </c>
      <c r="C178" s="146" t="s">
        <v>578</v>
      </c>
      <c r="D178" s="147">
        <v>81</v>
      </c>
      <c r="E178" s="148" t="s">
        <v>98</v>
      </c>
      <c r="F178" s="149" t="s">
        <v>85</v>
      </c>
      <c r="G178" s="149" t="s">
        <v>4</v>
      </c>
      <c r="H178" s="149" t="s">
        <v>87</v>
      </c>
      <c r="I178" s="149" t="s">
        <v>149</v>
      </c>
      <c r="J178" s="150">
        <v>2026</v>
      </c>
      <c r="K178" s="151">
        <v>66</v>
      </c>
      <c r="L178" s="152">
        <v>2</v>
      </c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5"/>
      <c r="Y178" s="65"/>
      <c r="Z178" s="65">
        <f>($K178*$D178)/$L178</f>
        <v>2673</v>
      </c>
      <c r="AA178" s="65">
        <f>($K178*$D178)/$L178</f>
        <v>2673</v>
      </c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</row>
    <row r="179" spans="1:48" ht="16.5" customHeight="1" x14ac:dyDescent="0.35">
      <c r="A179" s="108" t="s">
        <v>84</v>
      </c>
      <c r="B179" s="148" t="s">
        <v>125</v>
      </c>
      <c r="C179" s="146" t="s">
        <v>579</v>
      </c>
      <c r="D179" s="147">
        <v>13</v>
      </c>
      <c r="E179" s="148" t="s">
        <v>98</v>
      </c>
      <c r="F179" s="149" t="s">
        <v>85</v>
      </c>
      <c r="G179" s="149" t="s">
        <v>4</v>
      </c>
      <c r="H179" s="149" t="s">
        <v>87</v>
      </c>
      <c r="I179" s="149" t="s">
        <v>169</v>
      </c>
      <c r="J179" s="150">
        <v>2026</v>
      </c>
      <c r="K179" s="151">
        <v>66</v>
      </c>
      <c r="L179" s="152">
        <v>1</v>
      </c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>
        <f>($K179*$D179)/$L179</f>
        <v>858</v>
      </c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</row>
    <row r="180" spans="1:48" ht="16.5" customHeight="1" x14ac:dyDescent="0.35">
      <c r="A180" s="108" t="s">
        <v>84</v>
      </c>
      <c r="B180" s="148" t="s">
        <v>125</v>
      </c>
      <c r="C180" s="146" t="s">
        <v>580</v>
      </c>
      <c r="D180" s="147">
        <v>45</v>
      </c>
      <c r="E180" s="148" t="s">
        <v>98</v>
      </c>
      <c r="F180" s="149" t="s">
        <v>85</v>
      </c>
      <c r="G180" s="149" t="s">
        <v>4</v>
      </c>
      <c r="H180" s="149" t="s">
        <v>87</v>
      </c>
      <c r="I180" s="149" t="s">
        <v>165</v>
      </c>
      <c r="J180" s="150">
        <v>2026</v>
      </c>
      <c r="K180" s="151">
        <v>66</v>
      </c>
      <c r="L180" s="152">
        <v>1</v>
      </c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>
        <f>($K180*$D180)/$L180</f>
        <v>2970</v>
      </c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</row>
    <row r="181" spans="1:48" ht="16.5" customHeight="1" x14ac:dyDescent="0.35">
      <c r="A181" s="108" t="s">
        <v>84</v>
      </c>
      <c r="B181" s="72" t="s">
        <v>125</v>
      </c>
      <c r="C181" s="71" t="s">
        <v>572</v>
      </c>
      <c r="D181" s="83">
        <v>69</v>
      </c>
      <c r="E181" s="72" t="s">
        <v>98</v>
      </c>
      <c r="F181" s="70" t="s">
        <v>85</v>
      </c>
      <c r="G181" s="70" t="s">
        <v>4</v>
      </c>
      <c r="H181" s="70" t="s">
        <v>87</v>
      </c>
      <c r="I181" s="70" t="s">
        <v>153</v>
      </c>
      <c r="J181" s="5">
        <v>2026</v>
      </c>
      <c r="K181" s="67">
        <v>33</v>
      </c>
      <c r="L181" s="68">
        <v>1</v>
      </c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5"/>
      <c r="Y181" s="66"/>
      <c r="Z181" s="66"/>
      <c r="AA181" s="66"/>
      <c r="AB181" s="65">
        <f>($K181*$D181)/$L181</f>
        <v>2277</v>
      </c>
      <c r="AC181" s="66"/>
      <c r="AD181" s="66"/>
      <c r="AE181" s="65"/>
      <c r="AF181" s="66"/>
      <c r="AG181" s="66"/>
      <c r="AH181" s="66"/>
      <c r="AI181" s="66"/>
      <c r="AJ181" s="66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</row>
    <row r="182" spans="1:48" ht="16.5" customHeight="1" x14ac:dyDescent="0.35">
      <c r="A182" s="108" t="s">
        <v>84</v>
      </c>
      <c r="B182" s="72" t="s">
        <v>125</v>
      </c>
      <c r="C182" s="71" t="s">
        <v>573</v>
      </c>
      <c r="D182" s="83">
        <v>69</v>
      </c>
      <c r="E182" s="72" t="s">
        <v>98</v>
      </c>
      <c r="F182" s="70" t="s">
        <v>85</v>
      </c>
      <c r="G182" s="70" t="s">
        <v>4</v>
      </c>
      <c r="H182" s="70" t="s">
        <v>87</v>
      </c>
      <c r="I182" s="70" t="s">
        <v>163</v>
      </c>
      <c r="J182" s="5">
        <v>2026</v>
      </c>
      <c r="K182" s="67">
        <v>33</v>
      </c>
      <c r="L182" s="68">
        <v>1</v>
      </c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5"/>
      <c r="Y182" s="66"/>
      <c r="Z182" s="66"/>
      <c r="AA182" s="66"/>
      <c r="AB182" s="66"/>
      <c r="AC182" s="65"/>
      <c r="AD182" s="66"/>
      <c r="AE182" s="66"/>
      <c r="AF182" s="66"/>
      <c r="AG182" s="65">
        <f>($K182*$D182)/$L182</f>
        <v>2277</v>
      </c>
      <c r="AH182" s="65"/>
      <c r="AI182" s="66"/>
      <c r="AJ182" s="66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</row>
    <row r="183" spans="1:48" ht="16.5" customHeight="1" x14ac:dyDescent="0.35">
      <c r="A183" s="108" t="s">
        <v>84</v>
      </c>
      <c r="B183" s="72" t="s">
        <v>125</v>
      </c>
      <c r="C183" s="71" t="s">
        <v>574</v>
      </c>
      <c r="D183" s="83">
        <v>13</v>
      </c>
      <c r="E183" s="72" t="s">
        <v>98</v>
      </c>
      <c r="F183" s="70" t="s">
        <v>85</v>
      </c>
      <c r="G183" s="70" t="s">
        <v>4</v>
      </c>
      <c r="H183" s="70" t="s">
        <v>87</v>
      </c>
      <c r="I183" s="70" t="s">
        <v>167</v>
      </c>
      <c r="J183" s="5">
        <v>2026</v>
      </c>
      <c r="K183" s="67">
        <v>33</v>
      </c>
      <c r="L183" s="68">
        <v>1</v>
      </c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5"/>
      <c r="Y183" s="66"/>
      <c r="Z183" s="66"/>
      <c r="AA183" s="66"/>
      <c r="AB183" s="66"/>
      <c r="AC183" s="66"/>
      <c r="AD183" s="65">
        <f>($K183*$D183)/$L183</f>
        <v>429</v>
      </c>
      <c r="AE183" s="66"/>
      <c r="AF183" s="66"/>
      <c r="AG183" s="66"/>
      <c r="AH183" s="66"/>
      <c r="AI183" s="65">
        <f>($K183*$D183)/$L183</f>
        <v>429</v>
      </c>
      <c r="AJ183" s="66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</row>
    <row r="184" spans="1:48" ht="16.5" customHeight="1" x14ac:dyDescent="0.35">
      <c r="A184" s="108" t="s">
        <v>84</v>
      </c>
      <c r="B184" s="72" t="s">
        <v>129</v>
      </c>
      <c r="C184" s="71" t="s">
        <v>562</v>
      </c>
      <c r="D184" s="83">
        <v>56</v>
      </c>
      <c r="E184" s="72" t="s">
        <v>98</v>
      </c>
      <c r="F184" s="70" t="s">
        <v>85</v>
      </c>
      <c r="G184" s="70" t="s">
        <v>4</v>
      </c>
      <c r="H184" s="70" t="s">
        <v>87</v>
      </c>
      <c r="I184" s="70" t="s">
        <v>161</v>
      </c>
      <c r="J184" s="5">
        <v>2026</v>
      </c>
      <c r="K184" s="67">
        <v>150</v>
      </c>
      <c r="L184" s="68">
        <v>2</v>
      </c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5"/>
      <c r="Y184" s="66"/>
      <c r="Z184" s="66"/>
      <c r="AA184" s="66"/>
      <c r="AB184" s="66"/>
      <c r="AC184" s="66"/>
      <c r="AD184" s="66"/>
      <c r="AE184" s="65"/>
      <c r="AF184" s="65">
        <f>($K184*$D184)/$L184</f>
        <v>4200</v>
      </c>
      <c r="AG184" s="65">
        <f>($K184*$D184)/$L184</f>
        <v>4200</v>
      </c>
      <c r="AH184" s="65"/>
      <c r="AI184" s="66"/>
      <c r="AJ184" s="66"/>
      <c r="AK184" s="65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</row>
    <row r="185" spans="1:48" ht="16.5" customHeight="1" x14ac:dyDescent="0.35">
      <c r="A185" s="108" t="s">
        <v>84</v>
      </c>
      <c r="B185" s="72" t="s">
        <v>129</v>
      </c>
      <c r="C185" s="71" t="s">
        <v>563</v>
      </c>
      <c r="D185" s="83">
        <v>10</v>
      </c>
      <c r="E185" s="72" t="s">
        <v>98</v>
      </c>
      <c r="F185" s="70" t="s">
        <v>85</v>
      </c>
      <c r="G185" s="70" t="s">
        <v>4</v>
      </c>
      <c r="H185" s="70" t="s">
        <v>87</v>
      </c>
      <c r="I185" s="70" t="s">
        <v>167</v>
      </c>
      <c r="J185" s="5">
        <v>2026</v>
      </c>
      <c r="K185" s="67">
        <v>150</v>
      </c>
      <c r="L185" s="68">
        <v>1</v>
      </c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5"/>
      <c r="Y185" s="66"/>
      <c r="Z185" s="66"/>
      <c r="AA185" s="66"/>
      <c r="AB185" s="66"/>
      <c r="AC185" s="66"/>
      <c r="AD185" s="66"/>
      <c r="AE185" s="66"/>
      <c r="AF185" s="65"/>
      <c r="AG185" s="65"/>
      <c r="AH185" s="65"/>
      <c r="AI185" s="65">
        <f>($K185*$D185)/$L185</f>
        <v>1500</v>
      </c>
      <c r="AJ185" s="66"/>
      <c r="AK185" s="66"/>
      <c r="AL185" s="65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</row>
    <row r="186" spans="1:48" ht="16.5" customHeight="1" x14ac:dyDescent="0.35">
      <c r="A186" s="108" t="s">
        <v>84</v>
      </c>
      <c r="B186" s="72" t="s">
        <v>129</v>
      </c>
      <c r="C186" s="71" t="s">
        <v>564</v>
      </c>
      <c r="D186" s="83">
        <v>49</v>
      </c>
      <c r="E186" s="72" t="s">
        <v>98</v>
      </c>
      <c r="F186" s="70" t="s">
        <v>85</v>
      </c>
      <c r="G186" s="70" t="s">
        <v>4</v>
      </c>
      <c r="H186" s="70" t="s">
        <v>87</v>
      </c>
      <c r="I186" s="70" t="s">
        <v>169</v>
      </c>
      <c r="J186" s="5">
        <v>2026</v>
      </c>
      <c r="K186" s="67">
        <v>38</v>
      </c>
      <c r="L186" s="68">
        <v>1</v>
      </c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5"/>
      <c r="Y186" s="66"/>
      <c r="Z186" s="66"/>
      <c r="AA186" s="66"/>
      <c r="AB186" s="66"/>
      <c r="AC186" s="66"/>
      <c r="AD186" s="66"/>
      <c r="AE186" s="66"/>
      <c r="AF186" s="66"/>
      <c r="AG186" s="65"/>
      <c r="AH186" s="66"/>
      <c r="AI186" s="66"/>
      <c r="AJ186" s="65">
        <f>($K186*$D186)/$L186</f>
        <v>1862</v>
      </c>
      <c r="AK186" s="66"/>
      <c r="AL186" s="66"/>
      <c r="AM186" s="65"/>
      <c r="AN186" s="66"/>
      <c r="AO186" s="66"/>
      <c r="AP186" s="66"/>
      <c r="AQ186" s="66"/>
      <c r="AR186" s="66"/>
      <c r="AS186" s="66"/>
      <c r="AT186" s="66"/>
      <c r="AU186" s="66"/>
      <c r="AV186" s="66"/>
    </row>
    <row r="187" spans="1:48" ht="16.5" customHeight="1" x14ac:dyDescent="0.35">
      <c r="A187" s="108" t="s">
        <v>84</v>
      </c>
      <c r="B187" s="72" t="s">
        <v>125</v>
      </c>
      <c r="C187" s="71" t="s">
        <v>576</v>
      </c>
      <c r="D187" s="83">
        <v>4</v>
      </c>
      <c r="E187" s="72" t="s">
        <v>98</v>
      </c>
      <c r="F187" s="70" t="s">
        <v>85</v>
      </c>
      <c r="G187" s="70" t="s">
        <v>4</v>
      </c>
      <c r="H187" s="70" t="s">
        <v>87</v>
      </c>
      <c r="I187" s="70" t="s">
        <v>153</v>
      </c>
      <c r="J187" s="5">
        <v>2026</v>
      </c>
      <c r="K187" s="67">
        <v>330</v>
      </c>
      <c r="L187" s="68">
        <v>1</v>
      </c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5"/>
      <c r="Y187" s="66"/>
      <c r="Z187" s="66"/>
      <c r="AA187" s="66"/>
      <c r="AB187" s="65">
        <f>($K187*$D187)/$L187</f>
        <v>1320</v>
      </c>
      <c r="AC187" s="66"/>
      <c r="AD187" s="66"/>
      <c r="AE187" s="66"/>
      <c r="AF187" s="66"/>
      <c r="AG187" s="66"/>
      <c r="AH187" s="66"/>
      <c r="AI187" s="66"/>
      <c r="AJ187" s="66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</row>
    <row r="188" spans="1:48" ht="16.5" customHeight="1" x14ac:dyDescent="0.35">
      <c r="A188" s="108" t="s">
        <v>84</v>
      </c>
      <c r="B188" s="72" t="s">
        <v>125</v>
      </c>
      <c r="C188" s="71" t="s">
        <v>577</v>
      </c>
      <c r="D188" s="83">
        <v>6</v>
      </c>
      <c r="E188" s="72" t="s">
        <v>98</v>
      </c>
      <c r="F188" s="70" t="s">
        <v>85</v>
      </c>
      <c r="G188" s="70" t="s">
        <v>4</v>
      </c>
      <c r="H188" s="70" t="s">
        <v>87</v>
      </c>
      <c r="I188" s="70" t="s">
        <v>165</v>
      </c>
      <c r="J188" s="5">
        <v>2026</v>
      </c>
      <c r="K188" s="67">
        <v>330</v>
      </c>
      <c r="L188" s="68">
        <v>1</v>
      </c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5"/>
      <c r="Y188" s="66"/>
      <c r="Z188" s="66"/>
      <c r="AA188" s="66"/>
      <c r="AB188" s="66"/>
      <c r="AC188" s="65"/>
      <c r="AD188" s="66"/>
      <c r="AE188" s="66"/>
      <c r="AF188" s="66"/>
      <c r="AG188" s="66"/>
      <c r="AH188" s="65">
        <f>($K188*$D188)/$L188</f>
        <v>1980</v>
      </c>
      <c r="AI188" s="66"/>
      <c r="AJ188" s="66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</row>
    <row r="189" spans="1:48" ht="16.5" customHeight="1" x14ac:dyDescent="0.35">
      <c r="A189" s="108" t="s">
        <v>84</v>
      </c>
      <c r="B189" s="72" t="s">
        <v>125</v>
      </c>
      <c r="C189" s="146" t="s">
        <v>581</v>
      </c>
      <c r="D189" s="83">
        <v>40</v>
      </c>
      <c r="E189" s="72" t="s">
        <v>98</v>
      </c>
      <c r="F189" s="70" t="s">
        <v>85</v>
      </c>
      <c r="G189" s="70" t="s">
        <v>4</v>
      </c>
      <c r="H189" s="70" t="s">
        <v>87</v>
      </c>
      <c r="I189" s="70" t="s">
        <v>157</v>
      </c>
      <c r="J189" s="5">
        <v>2026</v>
      </c>
      <c r="K189" s="67">
        <v>66</v>
      </c>
      <c r="L189" s="68">
        <v>1</v>
      </c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5"/>
      <c r="Y189" s="66"/>
      <c r="Z189" s="66"/>
      <c r="AA189" s="66"/>
      <c r="AB189" s="65"/>
      <c r="AC189" s="66"/>
      <c r="AD189" s="65">
        <f>($K189*$D189)/$L189</f>
        <v>2640</v>
      </c>
      <c r="AE189" s="66"/>
      <c r="AF189" s="65"/>
      <c r="AG189" s="66"/>
      <c r="AH189" s="66"/>
      <c r="AI189" s="66"/>
      <c r="AJ189" s="66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</row>
    <row r="190" spans="1:48" ht="16.5" customHeight="1" x14ac:dyDescent="0.35">
      <c r="A190" s="108" t="s">
        <v>70</v>
      </c>
      <c r="B190" s="72" t="s">
        <v>83</v>
      </c>
      <c r="C190" s="71" t="s">
        <v>541</v>
      </c>
      <c r="D190" s="83">
        <v>1</v>
      </c>
      <c r="E190" s="72" t="s">
        <v>72</v>
      </c>
      <c r="F190" s="70" t="s">
        <v>78</v>
      </c>
      <c r="G190" s="70" t="s">
        <v>4</v>
      </c>
      <c r="H190" s="70" t="s">
        <v>80</v>
      </c>
      <c r="I190" s="70" t="s">
        <v>151</v>
      </c>
      <c r="J190" s="5">
        <v>2026</v>
      </c>
      <c r="K190" s="67">
        <v>132</v>
      </c>
      <c r="L190" s="68">
        <v>1</v>
      </c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5"/>
      <c r="Y190" s="65"/>
      <c r="Z190" s="65"/>
      <c r="AA190" s="65">
        <f>($K190*$D190)/$L190</f>
        <v>132</v>
      </c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</row>
    <row r="191" spans="1:48" ht="16.5" customHeight="1" x14ac:dyDescent="0.35">
      <c r="A191" s="108" t="s">
        <v>70</v>
      </c>
      <c r="B191" s="72" t="s">
        <v>83</v>
      </c>
      <c r="C191" s="71" t="s">
        <v>616</v>
      </c>
      <c r="D191" s="83">
        <v>1</v>
      </c>
      <c r="E191" s="72" t="s">
        <v>72</v>
      </c>
      <c r="F191" s="70" t="s">
        <v>78</v>
      </c>
      <c r="G191" s="70" t="s">
        <v>8</v>
      </c>
      <c r="H191" s="70" t="s">
        <v>73</v>
      </c>
      <c r="I191" s="70" t="s">
        <v>159</v>
      </c>
      <c r="J191" s="5">
        <v>2026</v>
      </c>
      <c r="K191" s="67">
        <v>132</v>
      </c>
      <c r="L191" s="68">
        <v>1</v>
      </c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5"/>
      <c r="Y191" s="65"/>
      <c r="Z191" s="65"/>
      <c r="AA191" s="65"/>
      <c r="AB191" s="65"/>
      <c r="AC191" s="65"/>
      <c r="AD191" s="65"/>
      <c r="AE191" s="65">
        <f>($K191*$D191)/$L191</f>
        <v>132</v>
      </c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</row>
    <row r="192" spans="1:48" ht="16.5" customHeight="1" x14ac:dyDescent="0.35">
      <c r="A192" s="108" t="s">
        <v>70</v>
      </c>
      <c r="B192" s="72" t="s">
        <v>83</v>
      </c>
      <c r="C192" s="71" t="s">
        <v>617</v>
      </c>
      <c r="D192" s="83">
        <v>1</v>
      </c>
      <c r="E192" s="72" t="s">
        <v>72</v>
      </c>
      <c r="F192" s="70" t="s">
        <v>78</v>
      </c>
      <c r="G192" s="70" t="s">
        <v>8</v>
      </c>
      <c r="H192" s="70" t="s">
        <v>73</v>
      </c>
      <c r="I192" s="70" t="s">
        <v>159</v>
      </c>
      <c r="J192" s="5">
        <v>2026</v>
      </c>
      <c r="K192" s="67">
        <v>132</v>
      </c>
      <c r="L192" s="68">
        <v>1</v>
      </c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5"/>
      <c r="Y192" s="65"/>
      <c r="Z192" s="65"/>
      <c r="AA192" s="65"/>
      <c r="AB192" s="65"/>
      <c r="AC192" s="65"/>
      <c r="AD192" s="65"/>
      <c r="AE192" s="65">
        <f>($K192*$D192)/$L192</f>
        <v>132</v>
      </c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</row>
    <row r="193" spans="1:48" ht="16.5" customHeight="1" x14ac:dyDescent="0.35">
      <c r="A193" s="108" t="s">
        <v>70</v>
      </c>
      <c r="B193" s="72" t="s">
        <v>83</v>
      </c>
      <c r="C193" s="71" t="s">
        <v>618</v>
      </c>
      <c r="D193" s="83">
        <v>1</v>
      </c>
      <c r="E193" s="72" t="s">
        <v>72</v>
      </c>
      <c r="F193" s="70" t="s">
        <v>78</v>
      </c>
      <c r="G193" s="70" t="s">
        <v>8</v>
      </c>
      <c r="H193" s="70" t="s">
        <v>73</v>
      </c>
      <c r="I193" s="70" t="s">
        <v>159</v>
      </c>
      <c r="J193" s="5">
        <v>2026</v>
      </c>
      <c r="K193" s="67">
        <v>132</v>
      </c>
      <c r="L193" s="68">
        <v>1</v>
      </c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5"/>
      <c r="Y193" s="65"/>
      <c r="Z193" s="65"/>
      <c r="AA193" s="65"/>
      <c r="AB193" s="65"/>
      <c r="AC193" s="65"/>
      <c r="AD193" s="65"/>
      <c r="AE193" s="65">
        <f>($K193*$D193)/$L193</f>
        <v>132</v>
      </c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</row>
    <row r="194" spans="1:48" ht="16.5" customHeight="1" x14ac:dyDescent="0.35">
      <c r="A194" s="108" t="s">
        <v>70</v>
      </c>
      <c r="B194" s="72" t="s">
        <v>83</v>
      </c>
      <c r="C194" s="71" t="s">
        <v>619</v>
      </c>
      <c r="D194" s="83">
        <v>1</v>
      </c>
      <c r="E194" s="72" t="s">
        <v>72</v>
      </c>
      <c r="F194" s="70" t="s">
        <v>78</v>
      </c>
      <c r="G194" s="70" t="s">
        <v>8</v>
      </c>
      <c r="H194" s="70" t="s">
        <v>73</v>
      </c>
      <c r="I194" s="70" t="s">
        <v>159</v>
      </c>
      <c r="J194" s="5">
        <v>2026</v>
      </c>
      <c r="K194" s="67">
        <v>132</v>
      </c>
      <c r="L194" s="68">
        <v>1</v>
      </c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5"/>
      <c r="Y194" s="65"/>
      <c r="Z194" s="65"/>
      <c r="AA194" s="65"/>
      <c r="AB194" s="65"/>
      <c r="AC194" s="65"/>
      <c r="AD194" s="65"/>
      <c r="AE194" s="65">
        <f>($K194*$D194)/$L194</f>
        <v>132</v>
      </c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</row>
    <row r="195" spans="1:48" ht="16.5" customHeight="1" x14ac:dyDescent="0.35">
      <c r="A195" s="108" t="s">
        <v>70</v>
      </c>
      <c r="B195" s="72" t="s">
        <v>83</v>
      </c>
      <c r="C195" s="71" t="s">
        <v>614</v>
      </c>
      <c r="D195" s="83">
        <v>1</v>
      </c>
      <c r="E195" s="72" t="s">
        <v>72</v>
      </c>
      <c r="F195" s="70" t="s">
        <v>78</v>
      </c>
      <c r="G195" s="70" t="s">
        <v>8</v>
      </c>
      <c r="H195" s="70" t="s">
        <v>73</v>
      </c>
      <c r="I195" s="70" t="s">
        <v>157</v>
      </c>
      <c r="J195" s="5">
        <v>2026</v>
      </c>
      <c r="K195" s="67">
        <v>132</v>
      </c>
      <c r="L195" s="68">
        <v>1</v>
      </c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5"/>
      <c r="Y195" s="65"/>
      <c r="Z195" s="65"/>
      <c r="AA195" s="65"/>
      <c r="AB195" s="65"/>
      <c r="AC195" s="65"/>
      <c r="AD195" s="65">
        <f>($K195*$D195)/$L195</f>
        <v>132</v>
      </c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</row>
    <row r="196" spans="1:48" ht="16.5" customHeight="1" x14ac:dyDescent="0.35">
      <c r="A196" s="108" t="s">
        <v>70</v>
      </c>
      <c r="B196" s="72" t="s">
        <v>83</v>
      </c>
      <c r="C196" s="71" t="s">
        <v>615</v>
      </c>
      <c r="D196" s="83">
        <v>1</v>
      </c>
      <c r="E196" s="72" t="s">
        <v>72</v>
      </c>
      <c r="F196" s="70" t="s">
        <v>78</v>
      </c>
      <c r="G196" s="70" t="s">
        <v>8</v>
      </c>
      <c r="H196" s="70" t="s">
        <v>73</v>
      </c>
      <c r="I196" s="70" t="s">
        <v>157</v>
      </c>
      <c r="J196" s="5">
        <v>2026</v>
      </c>
      <c r="K196" s="67">
        <v>132</v>
      </c>
      <c r="L196" s="68">
        <v>1</v>
      </c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5"/>
      <c r="Y196" s="65"/>
      <c r="Z196" s="65"/>
      <c r="AA196" s="65"/>
      <c r="AB196" s="65"/>
      <c r="AC196" s="65"/>
      <c r="AD196" s="65">
        <f>($K196*$D196)/$L196</f>
        <v>132</v>
      </c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</row>
    <row r="197" spans="1:48" ht="16.5" customHeight="1" x14ac:dyDescent="0.35">
      <c r="A197" s="108" t="s">
        <v>70</v>
      </c>
      <c r="B197" s="72" t="s">
        <v>83</v>
      </c>
      <c r="C197" s="71" t="s">
        <v>610</v>
      </c>
      <c r="D197" s="83">
        <v>1</v>
      </c>
      <c r="E197" s="72" t="s">
        <v>72</v>
      </c>
      <c r="F197" s="70" t="s">
        <v>78</v>
      </c>
      <c r="G197" s="70" t="s">
        <v>8</v>
      </c>
      <c r="H197" s="70" t="s">
        <v>73</v>
      </c>
      <c r="I197" s="70" t="s">
        <v>155</v>
      </c>
      <c r="J197" s="5">
        <v>2026</v>
      </c>
      <c r="K197" s="67">
        <v>132</v>
      </c>
      <c r="L197" s="68">
        <v>1</v>
      </c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5"/>
      <c r="Y197" s="66"/>
      <c r="Z197" s="66"/>
      <c r="AA197" s="66"/>
      <c r="AB197" s="65"/>
      <c r="AC197" s="65">
        <f>($K197*$D197)/$L197</f>
        <v>132</v>
      </c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</row>
    <row r="198" spans="1:48" ht="16.5" customHeight="1" x14ac:dyDescent="0.35">
      <c r="A198" s="108" t="s">
        <v>70</v>
      </c>
      <c r="B198" s="72" t="s">
        <v>83</v>
      </c>
      <c r="C198" s="71" t="s">
        <v>611</v>
      </c>
      <c r="D198" s="83">
        <v>1</v>
      </c>
      <c r="E198" s="72" t="s">
        <v>72</v>
      </c>
      <c r="F198" s="70" t="s">
        <v>78</v>
      </c>
      <c r="G198" s="70" t="s">
        <v>8</v>
      </c>
      <c r="H198" s="70" t="s">
        <v>73</v>
      </c>
      <c r="I198" s="70" t="s">
        <v>155</v>
      </c>
      <c r="J198" s="5">
        <v>2026</v>
      </c>
      <c r="K198" s="67">
        <v>132</v>
      </c>
      <c r="L198" s="68">
        <v>1</v>
      </c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5"/>
      <c r="Y198" s="66"/>
      <c r="Z198" s="66"/>
      <c r="AA198" s="66"/>
      <c r="AB198" s="65"/>
      <c r="AC198" s="65">
        <f>($K198*$D198)/$L198</f>
        <v>132</v>
      </c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</row>
    <row r="199" spans="1:48" ht="16.5" customHeight="1" x14ac:dyDescent="0.35">
      <c r="A199" s="108" t="s">
        <v>70</v>
      </c>
      <c r="B199" s="72" t="s">
        <v>83</v>
      </c>
      <c r="C199" s="71" t="s">
        <v>612</v>
      </c>
      <c r="D199" s="83">
        <v>1</v>
      </c>
      <c r="E199" s="72" t="s">
        <v>72</v>
      </c>
      <c r="F199" s="70" t="s">
        <v>78</v>
      </c>
      <c r="G199" s="70" t="s">
        <v>8</v>
      </c>
      <c r="H199" s="70" t="s">
        <v>73</v>
      </c>
      <c r="I199" s="70" t="s">
        <v>155</v>
      </c>
      <c r="J199" s="5">
        <v>2026</v>
      </c>
      <c r="K199" s="67">
        <v>132</v>
      </c>
      <c r="L199" s="68">
        <v>1</v>
      </c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5"/>
      <c r="Y199" s="65"/>
      <c r="Z199" s="65"/>
      <c r="AA199" s="65"/>
      <c r="AB199" s="65"/>
      <c r="AC199" s="65">
        <f>($K199*$D199)/$L199</f>
        <v>132</v>
      </c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</row>
    <row r="200" spans="1:48" ht="16" x14ac:dyDescent="0.35">
      <c r="A200" s="108" t="s">
        <v>70</v>
      </c>
      <c r="B200" s="72" t="s">
        <v>83</v>
      </c>
      <c r="C200" s="71" t="s">
        <v>613</v>
      </c>
      <c r="D200" s="83">
        <v>1</v>
      </c>
      <c r="E200" s="72" t="s">
        <v>72</v>
      </c>
      <c r="F200" s="70" t="s">
        <v>78</v>
      </c>
      <c r="G200" s="70" t="s">
        <v>8</v>
      </c>
      <c r="H200" s="70" t="s">
        <v>73</v>
      </c>
      <c r="I200" s="70" t="s">
        <v>155</v>
      </c>
      <c r="J200" s="5">
        <v>2026</v>
      </c>
      <c r="K200" s="67">
        <v>132</v>
      </c>
      <c r="L200" s="68">
        <v>1</v>
      </c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5"/>
      <c r="Y200" s="65"/>
      <c r="Z200" s="65"/>
      <c r="AA200" s="65"/>
      <c r="AB200" s="65"/>
      <c r="AC200" s="65">
        <f>($K200*$D200)/$L200</f>
        <v>132</v>
      </c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</row>
    <row r="201" spans="1:48" ht="16" x14ac:dyDescent="0.35">
      <c r="A201" s="108" t="s">
        <v>70</v>
      </c>
      <c r="B201" s="72" t="s">
        <v>83</v>
      </c>
      <c r="C201" s="71" t="s">
        <v>616</v>
      </c>
      <c r="D201" s="83">
        <v>1</v>
      </c>
      <c r="E201" s="72" t="s">
        <v>79</v>
      </c>
      <c r="F201" s="70" t="s">
        <v>78</v>
      </c>
      <c r="G201" s="70" t="s">
        <v>8</v>
      </c>
      <c r="H201" s="70" t="s">
        <v>73</v>
      </c>
      <c r="I201" s="70" t="s">
        <v>163</v>
      </c>
      <c r="J201" s="5">
        <v>2026</v>
      </c>
      <c r="K201" s="67">
        <v>370</v>
      </c>
      <c r="L201" s="68">
        <v>2</v>
      </c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5"/>
      <c r="Y201" s="65"/>
      <c r="Z201" s="65"/>
      <c r="AA201" s="65"/>
      <c r="AB201" s="65"/>
      <c r="AC201" s="65"/>
      <c r="AD201" s="65"/>
      <c r="AE201" s="65"/>
      <c r="AF201" s="65"/>
      <c r="AG201" s="65">
        <f t="shared" ref="AG201:AH204" si="4">($K201*$D201)/$L201</f>
        <v>185</v>
      </c>
      <c r="AH201" s="65">
        <f t="shared" si="4"/>
        <v>185</v>
      </c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</row>
    <row r="202" spans="1:48" ht="16" x14ac:dyDescent="0.35">
      <c r="A202" s="108" t="s">
        <v>70</v>
      </c>
      <c r="B202" s="72" t="s">
        <v>83</v>
      </c>
      <c r="C202" s="71" t="s">
        <v>617</v>
      </c>
      <c r="D202" s="83">
        <v>1</v>
      </c>
      <c r="E202" s="72" t="s">
        <v>79</v>
      </c>
      <c r="F202" s="70" t="s">
        <v>78</v>
      </c>
      <c r="G202" s="70" t="s">
        <v>8</v>
      </c>
      <c r="H202" s="70" t="s">
        <v>73</v>
      </c>
      <c r="I202" s="70" t="s">
        <v>163</v>
      </c>
      <c r="J202" s="5">
        <v>2026</v>
      </c>
      <c r="K202" s="67">
        <v>370</v>
      </c>
      <c r="L202" s="68">
        <v>2</v>
      </c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5"/>
      <c r="Y202" s="65"/>
      <c r="Z202" s="65"/>
      <c r="AA202" s="65"/>
      <c r="AB202" s="65"/>
      <c r="AC202" s="65"/>
      <c r="AD202" s="65"/>
      <c r="AE202" s="65"/>
      <c r="AF202" s="65"/>
      <c r="AG202" s="65">
        <f t="shared" si="4"/>
        <v>185</v>
      </c>
      <c r="AH202" s="65">
        <f t="shared" si="4"/>
        <v>185</v>
      </c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</row>
    <row r="203" spans="1:48" ht="16" x14ac:dyDescent="0.35">
      <c r="A203" s="108" t="s">
        <v>70</v>
      </c>
      <c r="B203" s="72" t="s">
        <v>83</v>
      </c>
      <c r="C203" s="71" t="s">
        <v>618</v>
      </c>
      <c r="D203" s="83">
        <v>1</v>
      </c>
      <c r="E203" s="72" t="s">
        <v>79</v>
      </c>
      <c r="F203" s="70" t="s">
        <v>78</v>
      </c>
      <c r="G203" s="70" t="s">
        <v>8</v>
      </c>
      <c r="H203" s="70" t="s">
        <v>73</v>
      </c>
      <c r="I203" s="70" t="s">
        <v>163</v>
      </c>
      <c r="J203" s="5">
        <v>2026</v>
      </c>
      <c r="K203" s="67">
        <v>370</v>
      </c>
      <c r="L203" s="68">
        <v>2</v>
      </c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5"/>
      <c r="Y203" s="65"/>
      <c r="Z203" s="65"/>
      <c r="AA203" s="65"/>
      <c r="AB203" s="65"/>
      <c r="AC203" s="65"/>
      <c r="AD203" s="65"/>
      <c r="AE203" s="65"/>
      <c r="AF203" s="65"/>
      <c r="AG203" s="65">
        <f t="shared" si="4"/>
        <v>185</v>
      </c>
      <c r="AH203" s="65">
        <f t="shared" si="4"/>
        <v>185</v>
      </c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</row>
    <row r="204" spans="1:48" ht="16" x14ac:dyDescent="0.35">
      <c r="A204" s="108" t="s">
        <v>70</v>
      </c>
      <c r="B204" s="72" t="s">
        <v>83</v>
      </c>
      <c r="C204" s="71" t="s">
        <v>619</v>
      </c>
      <c r="D204" s="83">
        <v>1</v>
      </c>
      <c r="E204" s="72" t="s">
        <v>79</v>
      </c>
      <c r="F204" s="70" t="s">
        <v>78</v>
      </c>
      <c r="G204" s="70" t="s">
        <v>8</v>
      </c>
      <c r="H204" s="70" t="s">
        <v>73</v>
      </c>
      <c r="I204" s="70" t="s">
        <v>163</v>
      </c>
      <c r="J204" s="5">
        <v>2026</v>
      </c>
      <c r="K204" s="67">
        <v>370</v>
      </c>
      <c r="L204" s="68">
        <v>2</v>
      </c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5"/>
      <c r="Y204" s="65"/>
      <c r="Z204" s="65"/>
      <c r="AA204" s="65"/>
      <c r="AB204" s="65"/>
      <c r="AC204" s="65"/>
      <c r="AD204" s="65"/>
      <c r="AE204" s="65"/>
      <c r="AF204" s="65"/>
      <c r="AG204" s="65">
        <f t="shared" si="4"/>
        <v>185</v>
      </c>
      <c r="AH204" s="65">
        <f t="shared" si="4"/>
        <v>185</v>
      </c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</row>
    <row r="205" spans="1:48" ht="16" x14ac:dyDescent="0.35">
      <c r="A205" s="108" t="s">
        <v>70</v>
      </c>
      <c r="B205" s="72" t="s">
        <v>83</v>
      </c>
      <c r="C205" s="71" t="s">
        <v>614</v>
      </c>
      <c r="D205" s="83">
        <v>1</v>
      </c>
      <c r="E205" s="72" t="s">
        <v>79</v>
      </c>
      <c r="F205" s="70" t="s">
        <v>78</v>
      </c>
      <c r="G205" s="70" t="s">
        <v>8</v>
      </c>
      <c r="H205" s="70" t="s">
        <v>73</v>
      </c>
      <c r="I205" s="70" t="s">
        <v>161</v>
      </c>
      <c r="J205" s="5">
        <v>2026</v>
      </c>
      <c r="K205" s="67">
        <v>370</v>
      </c>
      <c r="L205" s="68">
        <v>2</v>
      </c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5"/>
      <c r="Y205" s="65"/>
      <c r="Z205" s="65"/>
      <c r="AA205" s="65"/>
      <c r="AB205" s="65"/>
      <c r="AC205" s="65"/>
      <c r="AD205" s="65"/>
      <c r="AE205" s="65"/>
      <c r="AF205" s="65">
        <f t="shared" ref="AF205:AG206" si="5">($K205*$D205)/$L205</f>
        <v>185</v>
      </c>
      <c r="AG205" s="65">
        <f t="shared" si="5"/>
        <v>185</v>
      </c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</row>
    <row r="206" spans="1:48" ht="16" x14ac:dyDescent="0.35">
      <c r="A206" s="108" t="s">
        <v>70</v>
      </c>
      <c r="B206" s="72" t="s">
        <v>83</v>
      </c>
      <c r="C206" s="71" t="s">
        <v>615</v>
      </c>
      <c r="D206" s="83">
        <v>1</v>
      </c>
      <c r="E206" s="72" t="s">
        <v>79</v>
      </c>
      <c r="F206" s="70" t="s">
        <v>78</v>
      </c>
      <c r="G206" s="70" t="s">
        <v>8</v>
      </c>
      <c r="H206" s="70" t="s">
        <v>73</v>
      </c>
      <c r="I206" s="70" t="s">
        <v>161</v>
      </c>
      <c r="J206" s="5">
        <v>2026</v>
      </c>
      <c r="K206" s="67">
        <v>370</v>
      </c>
      <c r="L206" s="68">
        <v>2</v>
      </c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5"/>
      <c r="Y206" s="65"/>
      <c r="Z206" s="65"/>
      <c r="AA206" s="65"/>
      <c r="AB206" s="65"/>
      <c r="AC206" s="65"/>
      <c r="AD206" s="65"/>
      <c r="AE206" s="65"/>
      <c r="AF206" s="65">
        <f t="shared" si="5"/>
        <v>185</v>
      </c>
      <c r="AG206" s="65">
        <f t="shared" si="5"/>
        <v>185</v>
      </c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</row>
    <row r="207" spans="1:48" ht="16" x14ac:dyDescent="0.35">
      <c r="A207" s="108" t="s">
        <v>70</v>
      </c>
      <c r="B207" s="72" t="s">
        <v>83</v>
      </c>
      <c r="C207" s="71" t="s">
        <v>610</v>
      </c>
      <c r="D207" s="83">
        <v>1</v>
      </c>
      <c r="E207" s="72" t="s">
        <v>79</v>
      </c>
      <c r="F207" s="70" t="s">
        <v>78</v>
      </c>
      <c r="G207" s="70" t="s">
        <v>8</v>
      </c>
      <c r="H207" s="70" t="s">
        <v>73</v>
      </c>
      <c r="I207" s="70" t="s">
        <v>165</v>
      </c>
      <c r="J207" s="5">
        <v>2026</v>
      </c>
      <c r="K207" s="67">
        <v>370</v>
      </c>
      <c r="L207" s="68">
        <v>2</v>
      </c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>
        <f t="shared" ref="AH207:AI210" si="6">($K207*$D207)/$L207</f>
        <v>185</v>
      </c>
      <c r="AI207" s="65">
        <f t="shared" si="6"/>
        <v>185</v>
      </c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</row>
    <row r="208" spans="1:48" ht="16" x14ac:dyDescent="0.35">
      <c r="A208" s="108" t="s">
        <v>70</v>
      </c>
      <c r="B208" s="72" t="s">
        <v>83</v>
      </c>
      <c r="C208" s="71" t="s">
        <v>611</v>
      </c>
      <c r="D208" s="83">
        <v>1</v>
      </c>
      <c r="E208" s="72" t="s">
        <v>79</v>
      </c>
      <c r="F208" s="70" t="s">
        <v>78</v>
      </c>
      <c r="G208" s="70" t="s">
        <v>8</v>
      </c>
      <c r="H208" s="70" t="s">
        <v>73</v>
      </c>
      <c r="I208" s="70" t="s">
        <v>165</v>
      </c>
      <c r="J208" s="5">
        <v>2026</v>
      </c>
      <c r="K208" s="67">
        <v>370</v>
      </c>
      <c r="L208" s="68">
        <v>2</v>
      </c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>
        <f t="shared" si="6"/>
        <v>185</v>
      </c>
      <c r="AI208" s="65">
        <f t="shared" si="6"/>
        <v>185</v>
      </c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</row>
    <row r="209" spans="1:48" ht="16" x14ac:dyDescent="0.35">
      <c r="A209" s="108" t="s">
        <v>70</v>
      </c>
      <c r="B209" s="72" t="s">
        <v>83</v>
      </c>
      <c r="C209" s="71" t="s">
        <v>612</v>
      </c>
      <c r="D209" s="83">
        <v>1</v>
      </c>
      <c r="E209" s="72" t="s">
        <v>79</v>
      </c>
      <c r="F209" s="70" t="s">
        <v>78</v>
      </c>
      <c r="G209" s="70" t="s">
        <v>8</v>
      </c>
      <c r="H209" s="70" t="s">
        <v>73</v>
      </c>
      <c r="I209" s="70" t="s">
        <v>165</v>
      </c>
      <c r="J209" s="5">
        <v>2026</v>
      </c>
      <c r="K209" s="67">
        <v>370</v>
      </c>
      <c r="L209" s="68">
        <v>2</v>
      </c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>
        <f t="shared" si="6"/>
        <v>185</v>
      </c>
      <c r="AI209" s="65">
        <f t="shared" si="6"/>
        <v>185</v>
      </c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</row>
    <row r="210" spans="1:48" ht="16" x14ac:dyDescent="0.35">
      <c r="A210" s="108" t="s">
        <v>70</v>
      </c>
      <c r="B210" s="72" t="s">
        <v>83</v>
      </c>
      <c r="C210" s="71" t="s">
        <v>613</v>
      </c>
      <c r="D210" s="83">
        <v>1</v>
      </c>
      <c r="E210" s="72" t="s">
        <v>79</v>
      </c>
      <c r="F210" s="70" t="s">
        <v>78</v>
      </c>
      <c r="G210" s="70" t="s">
        <v>8</v>
      </c>
      <c r="H210" s="70" t="s">
        <v>73</v>
      </c>
      <c r="I210" s="70" t="s">
        <v>165</v>
      </c>
      <c r="J210" s="5">
        <v>2026</v>
      </c>
      <c r="K210" s="67">
        <v>370</v>
      </c>
      <c r="L210" s="68">
        <v>2</v>
      </c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>
        <f t="shared" si="6"/>
        <v>185</v>
      </c>
      <c r="AI210" s="65">
        <f t="shared" si="6"/>
        <v>185</v>
      </c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</row>
    <row r="211" spans="1:48" ht="16.5" customHeight="1" x14ac:dyDescent="0.35">
      <c r="A211" s="108" t="s">
        <v>77</v>
      </c>
      <c r="B211" s="72" t="s">
        <v>145</v>
      </c>
      <c r="C211" s="71" t="s">
        <v>411</v>
      </c>
      <c r="D211" s="83">
        <v>14</v>
      </c>
      <c r="E211" s="72" t="s">
        <v>71</v>
      </c>
      <c r="F211" s="70" t="s">
        <v>71</v>
      </c>
      <c r="G211" s="70" t="s">
        <v>8</v>
      </c>
      <c r="H211" s="70" t="s">
        <v>73</v>
      </c>
      <c r="I211" s="70" t="s">
        <v>157</v>
      </c>
      <c r="J211" s="5">
        <v>2026</v>
      </c>
      <c r="K211" s="67">
        <v>20</v>
      </c>
      <c r="L211" s="68">
        <v>1</v>
      </c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5"/>
      <c r="Y211" s="65"/>
      <c r="Z211" s="65"/>
      <c r="AA211" s="65"/>
      <c r="AB211" s="65"/>
      <c r="AC211" s="65"/>
      <c r="AD211" s="65">
        <f>($K211*$D211)/$L211</f>
        <v>280</v>
      </c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</row>
    <row r="212" spans="1:48" ht="16.5" customHeight="1" x14ac:dyDescent="0.35">
      <c r="A212" s="108" t="s">
        <v>77</v>
      </c>
      <c r="B212" s="72" t="s">
        <v>150</v>
      </c>
      <c r="C212" s="71" t="s">
        <v>412</v>
      </c>
      <c r="D212" s="83">
        <v>1</v>
      </c>
      <c r="E212" s="72" t="s">
        <v>79</v>
      </c>
      <c r="F212" s="70" t="s">
        <v>78</v>
      </c>
      <c r="G212" s="70" t="s">
        <v>4</v>
      </c>
      <c r="H212" s="70" t="s">
        <v>87</v>
      </c>
      <c r="I212" s="70" t="s">
        <v>151</v>
      </c>
      <c r="J212" s="5">
        <v>2026</v>
      </c>
      <c r="K212" s="67">
        <v>520</v>
      </c>
      <c r="L212" s="68">
        <v>2</v>
      </c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5"/>
      <c r="Y212" s="65"/>
      <c r="Z212" s="65"/>
      <c r="AA212" s="65">
        <f>($K212*$D212)/$L212</f>
        <v>260</v>
      </c>
      <c r="AB212" s="65">
        <f>($K212*$D212)/$L212</f>
        <v>260</v>
      </c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</row>
    <row r="213" spans="1:48" ht="16.5" customHeight="1" x14ac:dyDescent="0.35">
      <c r="A213" s="108" t="s">
        <v>70</v>
      </c>
      <c r="B213" s="72" t="s">
        <v>115</v>
      </c>
      <c r="C213" s="71" t="s">
        <v>443</v>
      </c>
      <c r="D213" s="83">
        <v>2</v>
      </c>
      <c r="E213" s="72" t="s">
        <v>72</v>
      </c>
      <c r="F213" s="70" t="s">
        <v>78</v>
      </c>
      <c r="G213" s="70" t="s">
        <v>4</v>
      </c>
      <c r="H213" s="70" t="s">
        <v>93</v>
      </c>
      <c r="I213" s="70" t="s">
        <v>149</v>
      </c>
      <c r="J213" s="5">
        <v>2025</v>
      </c>
      <c r="K213" s="67">
        <v>100</v>
      </c>
      <c r="L213" s="68">
        <v>1</v>
      </c>
      <c r="M213" s="66"/>
      <c r="N213" s="66"/>
      <c r="O213" s="66"/>
      <c r="P213" s="66"/>
      <c r="Q213" s="66"/>
      <c r="R213" s="66">
        <f>($K213*$D213)/$L213</f>
        <v>200</v>
      </c>
      <c r="S213" s="66"/>
      <c r="T213" s="66"/>
      <c r="U213" s="66"/>
      <c r="V213" s="66"/>
      <c r="W213" s="66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</row>
    <row r="214" spans="1:48" ht="16.5" customHeight="1" x14ac:dyDescent="0.35">
      <c r="A214" s="108" t="s">
        <v>70</v>
      </c>
      <c r="B214" s="72" t="s">
        <v>115</v>
      </c>
      <c r="C214" s="71" t="s">
        <v>421</v>
      </c>
      <c r="D214" s="83">
        <v>1</v>
      </c>
      <c r="E214" s="72" t="s">
        <v>79</v>
      </c>
      <c r="F214" s="70" t="s">
        <v>78</v>
      </c>
      <c r="G214" s="70" t="s">
        <v>4</v>
      </c>
      <c r="H214" s="70" t="s">
        <v>93</v>
      </c>
      <c r="I214" s="70" t="s">
        <v>149</v>
      </c>
      <c r="J214" s="5">
        <v>2025</v>
      </c>
      <c r="K214" s="67">
        <v>250</v>
      </c>
      <c r="L214" s="68">
        <v>2</v>
      </c>
      <c r="M214" s="66"/>
      <c r="N214" s="66"/>
      <c r="O214" s="66"/>
      <c r="P214" s="66"/>
      <c r="Q214" s="66"/>
      <c r="R214" s="66"/>
      <c r="S214" s="66"/>
      <c r="T214" s="66"/>
      <c r="U214" s="66">
        <f>($K214*$D214)/$L214</f>
        <v>125</v>
      </c>
      <c r="V214" s="66">
        <v>95</v>
      </c>
      <c r="W214" s="66">
        <v>30</v>
      </c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</row>
    <row r="215" spans="1:48" ht="16.5" customHeight="1" x14ac:dyDescent="0.35">
      <c r="A215" s="108" t="s">
        <v>77</v>
      </c>
      <c r="B215" s="72" t="s">
        <v>121</v>
      </c>
      <c r="C215" s="71" t="s">
        <v>428</v>
      </c>
      <c r="D215" s="83">
        <v>1</v>
      </c>
      <c r="E215" s="72" t="s">
        <v>86</v>
      </c>
      <c r="F215" s="70" t="s">
        <v>78</v>
      </c>
      <c r="G215" s="70" t="s">
        <v>8</v>
      </c>
      <c r="H215" s="70" t="s">
        <v>73</v>
      </c>
      <c r="I215" s="70" t="s">
        <v>161</v>
      </c>
      <c r="J215" s="5">
        <v>2026</v>
      </c>
      <c r="K215" s="67">
        <v>640</v>
      </c>
      <c r="L215" s="68">
        <v>1</v>
      </c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5"/>
      <c r="Y215" s="65"/>
      <c r="Z215" s="65"/>
      <c r="AA215" s="65"/>
      <c r="AB215" s="65"/>
      <c r="AC215" s="65"/>
      <c r="AD215" s="65"/>
      <c r="AE215" s="65"/>
      <c r="AF215" s="65">
        <f>($K215*$D215)/$L215</f>
        <v>640</v>
      </c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</row>
    <row r="216" spans="1:48" ht="16.5" customHeight="1" x14ac:dyDescent="0.35">
      <c r="A216" s="108" t="s">
        <v>97</v>
      </c>
      <c r="B216" s="72" t="s">
        <v>92</v>
      </c>
      <c r="C216" s="71" t="s">
        <v>227</v>
      </c>
      <c r="D216" s="83">
        <v>4</v>
      </c>
      <c r="E216" s="72" t="s">
        <v>91</v>
      </c>
      <c r="F216" s="70" t="s">
        <v>92</v>
      </c>
      <c r="G216" s="70" t="s">
        <v>4</v>
      </c>
      <c r="H216" s="70" t="s">
        <v>93</v>
      </c>
      <c r="I216" s="70" t="s">
        <v>149</v>
      </c>
      <c r="J216" s="5">
        <v>2026</v>
      </c>
      <c r="K216" s="67">
        <v>110</v>
      </c>
      <c r="L216" s="68">
        <v>1</v>
      </c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5"/>
      <c r="Y216" s="65">
        <f>($K216*$D216)/$L216</f>
        <v>440</v>
      </c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</row>
    <row r="217" spans="1:48" ht="16.5" customHeight="1" x14ac:dyDescent="0.35">
      <c r="A217" s="108" t="s">
        <v>97</v>
      </c>
      <c r="B217" s="72" t="s">
        <v>92</v>
      </c>
      <c r="C217" s="71" t="s">
        <v>228</v>
      </c>
      <c r="D217" s="83">
        <v>4</v>
      </c>
      <c r="E217" s="72" t="s">
        <v>91</v>
      </c>
      <c r="F217" s="70" t="s">
        <v>92</v>
      </c>
      <c r="G217" s="70" t="s">
        <v>4</v>
      </c>
      <c r="H217" s="70" t="s">
        <v>93</v>
      </c>
      <c r="I217" s="70" t="s">
        <v>149</v>
      </c>
      <c r="J217" s="5">
        <v>2026</v>
      </c>
      <c r="K217" s="67">
        <v>110</v>
      </c>
      <c r="L217" s="68">
        <v>1</v>
      </c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5"/>
      <c r="Y217" s="65"/>
      <c r="Z217" s="65">
        <f>($K217*$D217)/$L217</f>
        <v>440</v>
      </c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</row>
    <row r="218" spans="1:48" ht="16.5" customHeight="1" x14ac:dyDescent="0.35">
      <c r="A218" s="108" t="s">
        <v>97</v>
      </c>
      <c r="B218" s="72" t="s">
        <v>92</v>
      </c>
      <c r="C218" s="71" t="s">
        <v>229</v>
      </c>
      <c r="D218" s="83">
        <v>4</v>
      </c>
      <c r="E218" s="72" t="s">
        <v>91</v>
      </c>
      <c r="F218" s="70" t="s">
        <v>92</v>
      </c>
      <c r="G218" s="70" t="s">
        <v>8</v>
      </c>
      <c r="H218" s="70" t="s">
        <v>330</v>
      </c>
      <c r="I218" s="70" t="s">
        <v>149</v>
      </c>
      <c r="J218" s="5">
        <v>2026</v>
      </c>
      <c r="K218" s="67">
        <v>110</v>
      </c>
      <c r="L218" s="68">
        <v>1</v>
      </c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5"/>
      <c r="Y218" s="65"/>
      <c r="Z218" s="65"/>
      <c r="AA218" s="65">
        <f>($K218*$D218)/$L218</f>
        <v>440</v>
      </c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</row>
    <row r="219" spans="1:48" ht="16.5" customHeight="1" x14ac:dyDescent="0.35">
      <c r="A219" s="108" t="s">
        <v>97</v>
      </c>
      <c r="B219" s="72" t="s">
        <v>92</v>
      </c>
      <c r="C219" s="71" t="s">
        <v>533</v>
      </c>
      <c r="D219" s="83">
        <v>3</v>
      </c>
      <c r="E219" s="72" t="s">
        <v>91</v>
      </c>
      <c r="F219" s="70" t="s">
        <v>92</v>
      </c>
      <c r="G219" s="70" t="s">
        <v>8</v>
      </c>
      <c r="H219" s="70" t="s">
        <v>330</v>
      </c>
      <c r="I219" s="70" t="s">
        <v>149</v>
      </c>
      <c r="J219" s="5">
        <v>2026</v>
      </c>
      <c r="K219" s="67">
        <v>110</v>
      </c>
      <c r="L219" s="68">
        <v>1</v>
      </c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5"/>
      <c r="Y219" s="65"/>
      <c r="Z219" s="65"/>
      <c r="AA219" s="65"/>
      <c r="AB219" s="65">
        <f>($K219*$D219)/$L219</f>
        <v>330</v>
      </c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</row>
    <row r="220" spans="1:48" ht="16" x14ac:dyDescent="0.35">
      <c r="A220" s="108" t="s">
        <v>97</v>
      </c>
      <c r="B220" s="72" t="s">
        <v>92</v>
      </c>
      <c r="C220" s="71" t="s">
        <v>534</v>
      </c>
      <c r="D220" s="83">
        <v>3</v>
      </c>
      <c r="E220" s="72" t="s">
        <v>91</v>
      </c>
      <c r="F220" s="70" t="s">
        <v>92</v>
      </c>
      <c r="G220" s="70" t="s">
        <v>8</v>
      </c>
      <c r="H220" s="70" t="s">
        <v>330</v>
      </c>
      <c r="I220" s="70" t="s">
        <v>149</v>
      </c>
      <c r="J220" s="5">
        <v>2026</v>
      </c>
      <c r="K220" s="67">
        <v>110</v>
      </c>
      <c r="L220" s="68">
        <v>1</v>
      </c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5"/>
      <c r="Y220" s="65"/>
      <c r="Z220" s="65"/>
      <c r="AA220" s="65"/>
      <c r="AB220" s="65"/>
      <c r="AC220" s="65">
        <f>($K220*$D220)/$L220</f>
        <v>330</v>
      </c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</row>
    <row r="221" spans="1:48" ht="16" x14ac:dyDescent="0.35">
      <c r="A221" s="108" t="s">
        <v>97</v>
      </c>
      <c r="B221" s="72" t="s">
        <v>92</v>
      </c>
      <c r="C221" s="71" t="s">
        <v>535</v>
      </c>
      <c r="D221" s="83">
        <v>3</v>
      </c>
      <c r="E221" s="72" t="s">
        <v>91</v>
      </c>
      <c r="F221" s="70" t="s">
        <v>92</v>
      </c>
      <c r="G221" s="70" t="s">
        <v>8</v>
      </c>
      <c r="H221" s="70" t="s">
        <v>330</v>
      </c>
      <c r="I221" s="70" t="s">
        <v>149</v>
      </c>
      <c r="J221" s="5">
        <v>2026</v>
      </c>
      <c r="K221" s="67">
        <v>110</v>
      </c>
      <c r="L221" s="68">
        <v>1</v>
      </c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5"/>
      <c r="Y221" s="65"/>
      <c r="Z221" s="65"/>
      <c r="AA221" s="65"/>
      <c r="AB221" s="65"/>
      <c r="AC221" s="65"/>
      <c r="AD221" s="65">
        <f>($K221*$D221)/$L221</f>
        <v>330</v>
      </c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</row>
    <row r="222" spans="1:48" ht="16" x14ac:dyDescent="0.35">
      <c r="A222" s="108" t="s">
        <v>97</v>
      </c>
      <c r="B222" s="72" t="s">
        <v>92</v>
      </c>
      <c r="C222" s="71" t="s">
        <v>503</v>
      </c>
      <c r="D222" s="83">
        <v>6</v>
      </c>
      <c r="E222" s="72" t="s">
        <v>91</v>
      </c>
      <c r="F222" s="70" t="s">
        <v>92</v>
      </c>
      <c r="G222" s="70" t="s">
        <v>8</v>
      </c>
      <c r="H222" s="70" t="s">
        <v>330</v>
      </c>
      <c r="I222" s="70" t="s">
        <v>149</v>
      </c>
      <c r="J222" s="5">
        <v>2026</v>
      </c>
      <c r="K222" s="67">
        <v>110</v>
      </c>
      <c r="L222" s="68">
        <v>1</v>
      </c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5"/>
      <c r="Y222" s="65"/>
      <c r="Z222" s="65"/>
      <c r="AA222" s="65"/>
      <c r="AB222" s="65"/>
      <c r="AC222" s="65"/>
      <c r="AD222" s="65"/>
      <c r="AE222" s="65">
        <f>($K222*$D222)/$L222</f>
        <v>660</v>
      </c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</row>
    <row r="223" spans="1:48" ht="16" x14ac:dyDescent="0.35">
      <c r="A223" s="108" t="s">
        <v>97</v>
      </c>
      <c r="B223" s="72" t="s">
        <v>92</v>
      </c>
      <c r="C223" s="71" t="s">
        <v>504</v>
      </c>
      <c r="D223" s="83">
        <v>6</v>
      </c>
      <c r="E223" s="72" t="s">
        <v>91</v>
      </c>
      <c r="F223" s="70" t="s">
        <v>92</v>
      </c>
      <c r="G223" s="70" t="s">
        <v>8</v>
      </c>
      <c r="H223" s="70" t="s">
        <v>330</v>
      </c>
      <c r="I223" s="70" t="s">
        <v>149</v>
      </c>
      <c r="J223" s="5">
        <v>2026</v>
      </c>
      <c r="K223" s="67">
        <v>110</v>
      </c>
      <c r="L223" s="68">
        <v>1</v>
      </c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5"/>
      <c r="Y223" s="65"/>
      <c r="Z223" s="65"/>
      <c r="AA223" s="65"/>
      <c r="AB223" s="65"/>
      <c r="AC223" s="65"/>
      <c r="AD223" s="65"/>
      <c r="AE223" s="65"/>
      <c r="AF223" s="65">
        <f>($K223*$D223)/$L223</f>
        <v>660</v>
      </c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</row>
    <row r="224" spans="1:48" ht="16" x14ac:dyDescent="0.35">
      <c r="A224" s="108" t="s">
        <v>97</v>
      </c>
      <c r="B224" s="72" t="s">
        <v>92</v>
      </c>
      <c r="C224" s="71" t="s">
        <v>505</v>
      </c>
      <c r="D224" s="83">
        <v>6</v>
      </c>
      <c r="E224" s="72" t="s">
        <v>91</v>
      </c>
      <c r="F224" s="70" t="s">
        <v>92</v>
      </c>
      <c r="G224" s="70" t="s">
        <v>8</v>
      </c>
      <c r="H224" s="70" t="s">
        <v>330</v>
      </c>
      <c r="I224" s="70" t="s">
        <v>149</v>
      </c>
      <c r="J224" s="5">
        <v>2026</v>
      </c>
      <c r="K224" s="67">
        <v>110</v>
      </c>
      <c r="L224" s="68">
        <v>1</v>
      </c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5"/>
      <c r="Y224" s="65"/>
      <c r="Z224" s="65"/>
      <c r="AA224" s="65"/>
      <c r="AB224" s="65"/>
      <c r="AC224" s="65"/>
      <c r="AD224" s="65"/>
      <c r="AE224" s="65"/>
      <c r="AF224" s="65"/>
      <c r="AG224" s="65">
        <f>($K224*$D224)/$L224</f>
        <v>660</v>
      </c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</row>
    <row r="225" spans="1:48" ht="16" x14ac:dyDescent="0.35">
      <c r="A225" s="108" t="s">
        <v>97</v>
      </c>
      <c r="B225" s="72" t="s">
        <v>92</v>
      </c>
      <c r="C225" s="71" t="s">
        <v>236</v>
      </c>
      <c r="D225" s="83">
        <v>6</v>
      </c>
      <c r="E225" s="72" t="s">
        <v>91</v>
      </c>
      <c r="F225" s="70" t="s">
        <v>92</v>
      </c>
      <c r="G225" s="70" t="s">
        <v>8</v>
      </c>
      <c r="H225" s="70" t="s">
        <v>330</v>
      </c>
      <c r="I225" s="70" t="s">
        <v>149</v>
      </c>
      <c r="J225" s="5">
        <v>2026</v>
      </c>
      <c r="K225" s="67">
        <v>110</v>
      </c>
      <c r="L225" s="68">
        <v>1</v>
      </c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>
        <f>($K225*$D225)/$L225</f>
        <v>660</v>
      </c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</row>
    <row r="226" spans="1:48" ht="16" x14ac:dyDescent="0.35">
      <c r="A226" s="108" t="s">
        <v>97</v>
      </c>
      <c r="B226" s="72" t="s">
        <v>92</v>
      </c>
      <c r="C226" s="71" t="s">
        <v>237</v>
      </c>
      <c r="D226" s="83">
        <v>6</v>
      </c>
      <c r="E226" s="72" t="s">
        <v>91</v>
      </c>
      <c r="F226" s="70" t="s">
        <v>92</v>
      </c>
      <c r="G226" s="70" t="s">
        <v>8</v>
      </c>
      <c r="H226" s="70" t="s">
        <v>330</v>
      </c>
      <c r="I226" s="70" t="s">
        <v>149</v>
      </c>
      <c r="J226" s="5">
        <v>2026</v>
      </c>
      <c r="K226" s="67">
        <v>110</v>
      </c>
      <c r="L226" s="68">
        <v>1</v>
      </c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>
        <f>($K226*$D226)/$L226</f>
        <v>660</v>
      </c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</row>
    <row r="227" spans="1:48" ht="16" x14ac:dyDescent="0.35">
      <c r="A227" s="108" t="s">
        <v>97</v>
      </c>
      <c r="B227" s="72" t="s">
        <v>92</v>
      </c>
      <c r="C227" s="71" t="s">
        <v>506</v>
      </c>
      <c r="D227" s="83">
        <v>6</v>
      </c>
      <c r="E227" s="72" t="s">
        <v>91</v>
      </c>
      <c r="F227" s="70" t="s">
        <v>92</v>
      </c>
      <c r="G227" s="70" t="s">
        <v>8</v>
      </c>
      <c r="H227" s="70" t="s">
        <v>330</v>
      </c>
      <c r="I227" s="70" t="s">
        <v>149</v>
      </c>
      <c r="J227" s="5">
        <v>2026</v>
      </c>
      <c r="K227" s="67">
        <v>110</v>
      </c>
      <c r="L227" s="68">
        <v>1</v>
      </c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>
        <f>($K227*$D227)/$L227</f>
        <v>660</v>
      </c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</row>
    <row r="228" spans="1:48" ht="16" x14ac:dyDescent="0.35">
      <c r="A228" s="108" t="s">
        <v>77</v>
      </c>
      <c r="B228" s="72" t="s">
        <v>131</v>
      </c>
      <c r="C228" s="71" t="s">
        <v>409</v>
      </c>
      <c r="D228" s="83">
        <v>1</v>
      </c>
      <c r="E228" s="72" t="s">
        <v>72</v>
      </c>
      <c r="F228" s="70" t="s">
        <v>78</v>
      </c>
      <c r="G228" s="70" t="s">
        <v>8</v>
      </c>
      <c r="H228" s="70" t="s">
        <v>73</v>
      </c>
      <c r="I228" s="70" t="s">
        <v>167</v>
      </c>
      <c r="J228" s="5">
        <v>2026</v>
      </c>
      <c r="K228" s="67">
        <v>1400</v>
      </c>
      <c r="L228" s="68">
        <v>2</v>
      </c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>
        <f>($K228*$D228)/$L228</f>
        <v>700</v>
      </c>
      <c r="AJ228" s="65">
        <f>($K228*$D228)/$L228</f>
        <v>700</v>
      </c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</row>
    <row r="229" spans="1:48" ht="16" x14ac:dyDescent="0.35">
      <c r="A229" s="108" t="s">
        <v>70</v>
      </c>
      <c r="B229" s="72" t="s">
        <v>115</v>
      </c>
      <c r="C229" s="71" t="s">
        <v>422</v>
      </c>
      <c r="D229" s="83">
        <v>1</v>
      </c>
      <c r="E229" s="72" t="s">
        <v>79</v>
      </c>
      <c r="F229" s="70" t="s">
        <v>78</v>
      </c>
      <c r="G229" s="70" t="s">
        <v>4</v>
      </c>
      <c r="H229" s="70" t="s">
        <v>93</v>
      </c>
      <c r="I229" s="70" t="s">
        <v>149</v>
      </c>
      <c r="J229" s="5">
        <v>2025</v>
      </c>
      <c r="K229" s="67">
        <v>250</v>
      </c>
      <c r="L229" s="68">
        <v>2</v>
      </c>
      <c r="M229" s="66"/>
      <c r="N229" s="66"/>
      <c r="O229" s="66"/>
      <c r="P229" s="66"/>
      <c r="Q229" s="66"/>
      <c r="R229" s="66"/>
      <c r="S229" s="66"/>
      <c r="T229" s="66"/>
      <c r="U229" s="66">
        <f>($K229*$D229)/$L229</f>
        <v>125</v>
      </c>
      <c r="V229" s="66">
        <v>95</v>
      </c>
      <c r="W229" s="66">
        <v>30</v>
      </c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</row>
    <row r="230" spans="1:48" ht="16" x14ac:dyDescent="0.35">
      <c r="A230" s="108" t="s">
        <v>77</v>
      </c>
      <c r="B230" s="72" t="s">
        <v>131</v>
      </c>
      <c r="C230" s="71" t="s">
        <v>409</v>
      </c>
      <c r="D230" s="83">
        <v>1</v>
      </c>
      <c r="E230" s="72" t="s">
        <v>79</v>
      </c>
      <c r="F230" s="70" t="s">
        <v>78</v>
      </c>
      <c r="G230" s="70" t="s">
        <v>8</v>
      </c>
      <c r="H230" s="70" t="s">
        <v>73</v>
      </c>
      <c r="I230" s="70" t="s">
        <v>175</v>
      </c>
      <c r="J230" s="5">
        <v>2027</v>
      </c>
      <c r="K230" s="67">
        <v>1000</v>
      </c>
      <c r="L230" s="68">
        <v>3</v>
      </c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>
        <f>($K230*$D230)/$L230</f>
        <v>333.33333333333331</v>
      </c>
      <c r="AN230" s="65">
        <f>($K230*$D230)/$L230</f>
        <v>333.33333333333331</v>
      </c>
      <c r="AO230" s="65">
        <f>($K230*$D230)/$L230</f>
        <v>333.33333333333331</v>
      </c>
      <c r="AP230" s="65"/>
      <c r="AQ230" s="65"/>
      <c r="AR230" s="65"/>
      <c r="AS230" s="65"/>
      <c r="AT230" s="65"/>
      <c r="AU230" s="65"/>
      <c r="AV230" s="65"/>
    </row>
    <row r="231" spans="1:48" ht="16" x14ac:dyDescent="0.35">
      <c r="A231" s="108" t="s">
        <v>77</v>
      </c>
      <c r="B231" s="72" t="s">
        <v>131</v>
      </c>
      <c r="C231" s="71" t="s">
        <v>410</v>
      </c>
      <c r="D231" s="83">
        <v>1</v>
      </c>
      <c r="E231" s="72" t="s">
        <v>72</v>
      </c>
      <c r="F231" s="70" t="s">
        <v>78</v>
      </c>
      <c r="G231" s="70" t="s">
        <v>8</v>
      </c>
      <c r="H231" s="70" t="s">
        <v>73</v>
      </c>
      <c r="I231" s="70" t="s">
        <v>153</v>
      </c>
      <c r="J231" s="5">
        <v>2026</v>
      </c>
      <c r="K231" s="67">
        <v>1400</v>
      </c>
      <c r="L231" s="68">
        <v>2</v>
      </c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5"/>
      <c r="Y231" s="65"/>
      <c r="Z231" s="65"/>
      <c r="AA231" s="65"/>
      <c r="AB231" s="65">
        <f>($K231*$D231)/$L231</f>
        <v>700</v>
      </c>
      <c r="AC231" s="65">
        <f>($K231*$D231)/$L231</f>
        <v>700</v>
      </c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</row>
    <row r="232" spans="1:48" ht="16" x14ac:dyDescent="0.35">
      <c r="A232" s="108" t="s">
        <v>77</v>
      </c>
      <c r="B232" s="72" t="s">
        <v>131</v>
      </c>
      <c r="C232" s="71" t="s">
        <v>410</v>
      </c>
      <c r="D232" s="83">
        <v>1</v>
      </c>
      <c r="E232" s="72" t="s">
        <v>79</v>
      </c>
      <c r="F232" s="70" t="s">
        <v>78</v>
      </c>
      <c r="G232" s="70" t="s">
        <v>8</v>
      </c>
      <c r="H232" s="70" t="s">
        <v>73</v>
      </c>
      <c r="I232" s="70" t="s">
        <v>159</v>
      </c>
      <c r="J232" s="5">
        <v>2026</v>
      </c>
      <c r="K232" s="67">
        <v>1000</v>
      </c>
      <c r="L232" s="68">
        <v>3</v>
      </c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5"/>
      <c r="Y232" s="65"/>
      <c r="Z232" s="65"/>
      <c r="AA232" s="65"/>
      <c r="AB232" s="65"/>
      <c r="AC232" s="65"/>
      <c r="AD232" s="65"/>
      <c r="AE232" s="65">
        <f>($K232*$D232)/$L232</f>
        <v>333.33333333333331</v>
      </c>
      <c r="AF232" s="65">
        <f>($K232*$D232)/$L232</f>
        <v>333.33333333333331</v>
      </c>
      <c r="AG232" s="65">
        <f>($K232*$D232)/$L232</f>
        <v>333.33333333333331</v>
      </c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</row>
    <row r="233" spans="1:48" ht="16" x14ac:dyDescent="0.35">
      <c r="A233" s="108" t="s">
        <v>84</v>
      </c>
      <c r="B233" s="72" t="s">
        <v>129</v>
      </c>
      <c r="C233" s="71" t="s">
        <v>252</v>
      </c>
      <c r="D233" s="83"/>
      <c r="E233" s="72" t="s">
        <v>98</v>
      </c>
      <c r="F233" s="70" t="s">
        <v>85</v>
      </c>
      <c r="G233" s="70" t="s">
        <v>6</v>
      </c>
      <c r="H233" s="70" t="s">
        <v>73</v>
      </c>
      <c r="I233" s="70" t="s">
        <v>149</v>
      </c>
      <c r="J233" s="5">
        <v>2026</v>
      </c>
      <c r="K233" s="67">
        <v>45</v>
      </c>
      <c r="L233" s="68">
        <v>1</v>
      </c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5"/>
      <c r="Y233" s="65">
        <f>($K233*$D233)/$L233</f>
        <v>0</v>
      </c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</row>
    <row r="234" spans="1:48" ht="16" x14ac:dyDescent="0.35">
      <c r="A234" s="108" t="s">
        <v>84</v>
      </c>
      <c r="B234" s="72" t="s">
        <v>129</v>
      </c>
      <c r="C234" s="71" t="s">
        <v>253</v>
      </c>
      <c r="D234" s="83"/>
      <c r="E234" s="72" t="s">
        <v>98</v>
      </c>
      <c r="F234" s="70" t="s">
        <v>85</v>
      </c>
      <c r="G234" s="70" t="s">
        <v>6</v>
      </c>
      <c r="H234" s="70" t="s">
        <v>73</v>
      </c>
      <c r="I234" s="70" t="s">
        <v>149</v>
      </c>
      <c r="J234" s="5">
        <v>2026</v>
      </c>
      <c r="K234" s="67">
        <v>45</v>
      </c>
      <c r="L234" s="68">
        <v>1</v>
      </c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5"/>
      <c r="Y234" s="65"/>
      <c r="Z234" s="65">
        <f>($K234*$D234)/$L234</f>
        <v>0</v>
      </c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</row>
    <row r="235" spans="1:48" ht="16" x14ac:dyDescent="0.35">
      <c r="A235" s="108" t="s">
        <v>84</v>
      </c>
      <c r="B235" s="72" t="s">
        <v>129</v>
      </c>
      <c r="C235" s="71" t="s">
        <v>254</v>
      </c>
      <c r="D235" s="83"/>
      <c r="E235" s="72" t="s">
        <v>98</v>
      </c>
      <c r="F235" s="70" t="s">
        <v>85</v>
      </c>
      <c r="G235" s="70" t="s">
        <v>6</v>
      </c>
      <c r="H235" s="70" t="s">
        <v>73</v>
      </c>
      <c r="I235" s="70" t="s">
        <v>149</v>
      </c>
      <c r="J235" s="5">
        <v>2026</v>
      </c>
      <c r="K235" s="67">
        <v>45</v>
      </c>
      <c r="L235" s="68">
        <v>1</v>
      </c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5"/>
      <c r="Y235" s="65"/>
      <c r="Z235" s="65"/>
      <c r="AA235" s="65">
        <f>($K235*$D235)/$L235</f>
        <v>0</v>
      </c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</row>
    <row r="236" spans="1:48" ht="16" x14ac:dyDescent="0.35">
      <c r="A236" s="108" t="s">
        <v>84</v>
      </c>
      <c r="B236" s="72" t="s">
        <v>129</v>
      </c>
      <c r="C236" s="71" t="s">
        <v>255</v>
      </c>
      <c r="D236" s="83"/>
      <c r="E236" s="72" t="s">
        <v>98</v>
      </c>
      <c r="F236" s="70" t="s">
        <v>85</v>
      </c>
      <c r="G236" s="70" t="s">
        <v>6</v>
      </c>
      <c r="H236" s="70" t="s">
        <v>73</v>
      </c>
      <c r="I236" s="70" t="s">
        <v>149</v>
      </c>
      <c r="J236" s="5">
        <v>2026</v>
      </c>
      <c r="K236" s="67">
        <v>45</v>
      </c>
      <c r="L236" s="68">
        <v>1</v>
      </c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5"/>
      <c r="Y236" s="65"/>
      <c r="Z236" s="65"/>
      <c r="AA236" s="65"/>
      <c r="AB236" s="65">
        <f>($K236*$D236)/$L236</f>
        <v>0</v>
      </c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</row>
    <row r="237" spans="1:48" ht="16" x14ac:dyDescent="0.35">
      <c r="A237" s="108" t="s">
        <v>84</v>
      </c>
      <c r="B237" s="72" t="s">
        <v>129</v>
      </c>
      <c r="C237" s="71" t="s">
        <v>256</v>
      </c>
      <c r="D237" s="83"/>
      <c r="E237" s="72" t="s">
        <v>98</v>
      </c>
      <c r="F237" s="70" t="s">
        <v>85</v>
      </c>
      <c r="G237" s="70" t="s">
        <v>6</v>
      </c>
      <c r="H237" s="70" t="s">
        <v>73</v>
      </c>
      <c r="I237" s="70" t="s">
        <v>149</v>
      </c>
      <c r="J237" s="5">
        <v>2026</v>
      </c>
      <c r="K237" s="67">
        <v>45</v>
      </c>
      <c r="L237" s="68">
        <v>1</v>
      </c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5"/>
      <c r="Y237" s="65"/>
      <c r="Z237" s="65"/>
      <c r="AA237" s="65"/>
      <c r="AB237" s="65"/>
      <c r="AC237" s="65">
        <f>($K237*$D237)/$L237</f>
        <v>0</v>
      </c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</row>
    <row r="238" spans="1:48" ht="16" x14ac:dyDescent="0.35">
      <c r="A238" s="108" t="s">
        <v>84</v>
      </c>
      <c r="B238" s="72" t="s">
        <v>129</v>
      </c>
      <c r="C238" s="71" t="s">
        <v>257</v>
      </c>
      <c r="D238" s="83"/>
      <c r="E238" s="72" t="s">
        <v>98</v>
      </c>
      <c r="F238" s="70" t="s">
        <v>85</v>
      </c>
      <c r="G238" s="70" t="s">
        <v>6</v>
      </c>
      <c r="H238" s="70" t="s">
        <v>73</v>
      </c>
      <c r="I238" s="70" t="s">
        <v>149</v>
      </c>
      <c r="J238" s="5">
        <v>2026</v>
      </c>
      <c r="K238" s="67">
        <v>45</v>
      </c>
      <c r="L238" s="68">
        <v>1</v>
      </c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5"/>
      <c r="Y238" s="65"/>
      <c r="Z238" s="65"/>
      <c r="AA238" s="65"/>
      <c r="AB238" s="65"/>
      <c r="AC238" s="65"/>
      <c r="AD238" s="65">
        <f>($K238*$D238)/$L238</f>
        <v>0</v>
      </c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</row>
    <row r="239" spans="1:48" ht="16" x14ac:dyDescent="0.35">
      <c r="A239" s="108" t="s">
        <v>84</v>
      </c>
      <c r="B239" s="72" t="s">
        <v>129</v>
      </c>
      <c r="C239" s="71" t="s">
        <v>258</v>
      </c>
      <c r="D239" s="83"/>
      <c r="E239" s="72" t="s">
        <v>98</v>
      </c>
      <c r="F239" s="70" t="s">
        <v>85</v>
      </c>
      <c r="G239" s="70" t="s">
        <v>6</v>
      </c>
      <c r="H239" s="70" t="s">
        <v>73</v>
      </c>
      <c r="I239" s="70" t="s">
        <v>149</v>
      </c>
      <c r="J239" s="5">
        <v>2026</v>
      </c>
      <c r="K239" s="67">
        <v>45</v>
      </c>
      <c r="L239" s="68">
        <v>1</v>
      </c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5"/>
      <c r="Y239" s="65"/>
      <c r="Z239" s="65"/>
      <c r="AA239" s="65"/>
      <c r="AB239" s="65"/>
      <c r="AC239" s="65"/>
      <c r="AD239" s="65"/>
      <c r="AE239" s="65">
        <f>($K239*$D239)/$L239</f>
        <v>0</v>
      </c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</row>
    <row r="240" spans="1:48" ht="16" x14ac:dyDescent="0.35">
      <c r="A240" s="108" t="s">
        <v>84</v>
      </c>
      <c r="B240" s="72" t="s">
        <v>129</v>
      </c>
      <c r="C240" s="71" t="s">
        <v>259</v>
      </c>
      <c r="D240" s="83"/>
      <c r="E240" s="72" t="s">
        <v>98</v>
      </c>
      <c r="F240" s="70" t="s">
        <v>85</v>
      </c>
      <c r="G240" s="70" t="s">
        <v>6</v>
      </c>
      <c r="H240" s="70" t="s">
        <v>73</v>
      </c>
      <c r="I240" s="70" t="s">
        <v>149</v>
      </c>
      <c r="J240" s="5">
        <v>2026</v>
      </c>
      <c r="K240" s="67">
        <v>45</v>
      </c>
      <c r="L240" s="68">
        <v>1</v>
      </c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5"/>
      <c r="Y240" s="65"/>
      <c r="Z240" s="65"/>
      <c r="AA240" s="65"/>
      <c r="AB240" s="65"/>
      <c r="AC240" s="65"/>
      <c r="AD240" s="65"/>
      <c r="AE240" s="65"/>
      <c r="AF240" s="65">
        <f>($K240*$D240)/$L240</f>
        <v>0</v>
      </c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</row>
    <row r="241" spans="1:48" ht="16" x14ac:dyDescent="0.35">
      <c r="A241" s="108" t="s">
        <v>84</v>
      </c>
      <c r="B241" s="72" t="s">
        <v>129</v>
      </c>
      <c r="C241" s="71" t="s">
        <v>260</v>
      </c>
      <c r="D241" s="83"/>
      <c r="E241" s="72" t="s">
        <v>98</v>
      </c>
      <c r="F241" s="70" t="s">
        <v>85</v>
      </c>
      <c r="G241" s="70" t="s">
        <v>6</v>
      </c>
      <c r="H241" s="70" t="s">
        <v>73</v>
      </c>
      <c r="I241" s="70" t="s">
        <v>149</v>
      </c>
      <c r="J241" s="5">
        <v>2026</v>
      </c>
      <c r="K241" s="67">
        <v>45</v>
      </c>
      <c r="L241" s="68">
        <v>1</v>
      </c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5"/>
      <c r="Y241" s="65"/>
      <c r="Z241" s="65"/>
      <c r="AA241" s="65"/>
      <c r="AB241" s="65"/>
      <c r="AC241" s="65"/>
      <c r="AD241" s="65"/>
      <c r="AE241" s="65"/>
      <c r="AF241" s="65"/>
      <c r="AG241" s="65">
        <f>($K241*$D241)/$L241</f>
        <v>0</v>
      </c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</row>
    <row r="242" spans="1:48" ht="16" x14ac:dyDescent="0.35">
      <c r="A242" s="108" t="s">
        <v>84</v>
      </c>
      <c r="B242" s="72" t="s">
        <v>129</v>
      </c>
      <c r="C242" s="71" t="s">
        <v>261</v>
      </c>
      <c r="D242" s="83"/>
      <c r="E242" s="72" t="s">
        <v>98</v>
      </c>
      <c r="F242" s="70" t="s">
        <v>85</v>
      </c>
      <c r="G242" s="70" t="s">
        <v>6</v>
      </c>
      <c r="H242" s="70" t="s">
        <v>73</v>
      </c>
      <c r="I242" s="70" t="s">
        <v>149</v>
      </c>
      <c r="J242" s="5">
        <v>2026</v>
      </c>
      <c r="K242" s="67">
        <v>45</v>
      </c>
      <c r="L242" s="68">
        <v>1</v>
      </c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>
        <f>($K242*$D242)/$L242</f>
        <v>0</v>
      </c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</row>
    <row r="243" spans="1:48" ht="16" x14ac:dyDescent="0.35">
      <c r="A243" s="108" t="s">
        <v>84</v>
      </c>
      <c r="B243" s="72" t="s">
        <v>129</v>
      </c>
      <c r="C243" s="71" t="s">
        <v>262</v>
      </c>
      <c r="D243" s="83"/>
      <c r="E243" s="72" t="s">
        <v>98</v>
      </c>
      <c r="F243" s="70" t="s">
        <v>85</v>
      </c>
      <c r="G243" s="70" t="s">
        <v>6</v>
      </c>
      <c r="H243" s="70" t="s">
        <v>73</v>
      </c>
      <c r="I243" s="70" t="s">
        <v>149</v>
      </c>
      <c r="J243" s="5">
        <v>2026</v>
      </c>
      <c r="K243" s="67">
        <v>45</v>
      </c>
      <c r="L243" s="68">
        <v>1</v>
      </c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>
        <f>($K243*$D243)/$L243</f>
        <v>0</v>
      </c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</row>
    <row r="244" spans="1:48" ht="16" x14ac:dyDescent="0.35">
      <c r="A244" s="108" t="s">
        <v>84</v>
      </c>
      <c r="B244" s="72" t="s">
        <v>129</v>
      </c>
      <c r="C244" s="71" t="s">
        <v>263</v>
      </c>
      <c r="D244" s="83"/>
      <c r="E244" s="72" t="s">
        <v>98</v>
      </c>
      <c r="F244" s="70" t="s">
        <v>85</v>
      </c>
      <c r="G244" s="70" t="s">
        <v>6</v>
      </c>
      <c r="H244" s="70" t="s">
        <v>73</v>
      </c>
      <c r="I244" s="70" t="s">
        <v>149</v>
      </c>
      <c r="J244" s="5">
        <v>2026</v>
      </c>
      <c r="K244" s="67">
        <v>45</v>
      </c>
      <c r="L244" s="68">
        <v>1</v>
      </c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>
        <f>($K244*$D244)/$L244</f>
        <v>0</v>
      </c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</row>
    <row r="245" spans="1:48" ht="16" x14ac:dyDescent="0.35">
      <c r="A245" s="108" t="s">
        <v>84</v>
      </c>
      <c r="B245" s="72" t="s">
        <v>129</v>
      </c>
      <c r="C245" s="71" t="s">
        <v>264</v>
      </c>
      <c r="D245" s="83"/>
      <c r="E245" s="72" t="s">
        <v>98</v>
      </c>
      <c r="F245" s="70" t="s">
        <v>85</v>
      </c>
      <c r="G245" s="70" t="s">
        <v>6</v>
      </c>
      <c r="H245" s="70" t="s">
        <v>73</v>
      </c>
      <c r="I245" s="70" t="s">
        <v>149</v>
      </c>
      <c r="J245" s="5">
        <v>2026</v>
      </c>
      <c r="K245" s="67">
        <v>370</v>
      </c>
      <c r="L245" s="68">
        <v>1</v>
      </c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5"/>
      <c r="Y245" s="65">
        <f>($K245*$D245)/$L245</f>
        <v>0</v>
      </c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</row>
    <row r="246" spans="1:48" ht="16" x14ac:dyDescent="0.35">
      <c r="A246" s="108" t="s">
        <v>84</v>
      </c>
      <c r="B246" s="72" t="s">
        <v>129</v>
      </c>
      <c r="C246" s="71" t="s">
        <v>265</v>
      </c>
      <c r="D246" s="83"/>
      <c r="E246" s="72" t="s">
        <v>98</v>
      </c>
      <c r="F246" s="70" t="s">
        <v>85</v>
      </c>
      <c r="G246" s="70" t="s">
        <v>6</v>
      </c>
      <c r="H246" s="70" t="s">
        <v>73</v>
      </c>
      <c r="I246" s="70" t="s">
        <v>149</v>
      </c>
      <c r="J246" s="5">
        <v>2026</v>
      </c>
      <c r="K246" s="67">
        <v>370</v>
      </c>
      <c r="L246" s="68">
        <v>1</v>
      </c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5"/>
      <c r="Y246" s="65"/>
      <c r="Z246" s="65">
        <f>($K246*$D246)/$L246</f>
        <v>0</v>
      </c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</row>
    <row r="247" spans="1:48" ht="16" x14ac:dyDescent="0.35">
      <c r="A247" s="108" t="s">
        <v>84</v>
      </c>
      <c r="B247" s="72" t="s">
        <v>129</v>
      </c>
      <c r="C247" s="71" t="s">
        <v>266</v>
      </c>
      <c r="D247" s="83"/>
      <c r="E247" s="72" t="s">
        <v>98</v>
      </c>
      <c r="F247" s="70" t="s">
        <v>85</v>
      </c>
      <c r="G247" s="70" t="s">
        <v>6</v>
      </c>
      <c r="H247" s="70" t="s">
        <v>73</v>
      </c>
      <c r="I247" s="70" t="s">
        <v>149</v>
      </c>
      <c r="J247" s="5">
        <v>2026</v>
      </c>
      <c r="K247" s="67">
        <v>370</v>
      </c>
      <c r="L247" s="68">
        <v>1</v>
      </c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5"/>
      <c r="Y247" s="65"/>
      <c r="Z247" s="65"/>
      <c r="AA247" s="65">
        <f>($K247*$D247)/$L247</f>
        <v>0</v>
      </c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</row>
    <row r="248" spans="1:48" ht="16" x14ac:dyDescent="0.35">
      <c r="A248" s="108" t="s">
        <v>84</v>
      </c>
      <c r="B248" s="72" t="s">
        <v>129</v>
      </c>
      <c r="C248" s="71" t="s">
        <v>267</v>
      </c>
      <c r="D248" s="83"/>
      <c r="E248" s="72" t="s">
        <v>98</v>
      </c>
      <c r="F248" s="70" t="s">
        <v>85</v>
      </c>
      <c r="G248" s="70" t="s">
        <v>6</v>
      </c>
      <c r="H248" s="70" t="s">
        <v>73</v>
      </c>
      <c r="I248" s="70" t="s">
        <v>149</v>
      </c>
      <c r="J248" s="5">
        <v>2026</v>
      </c>
      <c r="K248" s="67">
        <v>370</v>
      </c>
      <c r="L248" s="68">
        <v>1</v>
      </c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5"/>
      <c r="Y248" s="65"/>
      <c r="Z248" s="65"/>
      <c r="AA248" s="65"/>
      <c r="AB248" s="65">
        <f>($K248*$D248)/$L248</f>
        <v>0</v>
      </c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</row>
    <row r="249" spans="1:48" ht="16" x14ac:dyDescent="0.35">
      <c r="A249" s="108" t="s">
        <v>84</v>
      </c>
      <c r="B249" s="72" t="s">
        <v>129</v>
      </c>
      <c r="C249" s="71" t="s">
        <v>268</v>
      </c>
      <c r="D249" s="83"/>
      <c r="E249" s="72" t="s">
        <v>98</v>
      </c>
      <c r="F249" s="70" t="s">
        <v>85</v>
      </c>
      <c r="G249" s="70" t="s">
        <v>6</v>
      </c>
      <c r="H249" s="70" t="s">
        <v>73</v>
      </c>
      <c r="I249" s="70" t="s">
        <v>149</v>
      </c>
      <c r="J249" s="5">
        <v>2026</v>
      </c>
      <c r="K249" s="67">
        <v>370</v>
      </c>
      <c r="L249" s="68">
        <v>1</v>
      </c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5"/>
      <c r="Y249" s="65"/>
      <c r="Z249" s="65"/>
      <c r="AA249" s="65"/>
      <c r="AB249" s="65"/>
      <c r="AC249" s="65">
        <f>($K249*$D249)/$L249</f>
        <v>0</v>
      </c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</row>
    <row r="250" spans="1:48" ht="16" x14ac:dyDescent="0.35">
      <c r="A250" s="108" t="s">
        <v>84</v>
      </c>
      <c r="B250" s="72" t="s">
        <v>129</v>
      </c>
      <c r="C250" s="71" t="s">
        <v>269</v>
      </c>
      <c r="D250" s="83"/>
      <c r="E250" s="72" t="s">
        <v>98</v>
      </c>
      <c r="F250" s="70" t="s">
        <v>85</v>
      </c>
      <c r="G250" s="70" t="s">
        <v>6</v>
      </c>
      <c r="H250" s="70" t="s">
        <v>73</v>
      </c>
      <c r="I250" s="70" t="s">
        <v>149</v>
      </c>
      <c r="J250" s="5">
        <v>2026</v>
      </c>
      <c r="K250" s="67">
        <v>370</v>
      </c>
      <c r="L250" s="68">
        <v>1</v>
      </c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5"/>
      <c r="Y250" s="65"/>
      <c r="Z250" s="65"/>
      <c r="AA250" s="65"/>
      <c r="AB250" s="65"/>
      <c r="AC250" s="65"/>
      <c r="AD250" s="65">
        <f>($K250*$D250)/$L250</f>
        <v>0</v>
      </c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</row>
    <row r="251" spans="1:48" ht="16" x14ac:dyDescent="0.35">
      <c r="A251" s="108" t="s">
        <v>84</v>
      </c>
      <c r="B251" s="72" t="s">
        <v>129</v>
      </c>
      <c r="C251" s="71" t="s">
        <v>270</v>
      </c>
      <c r="D251" s="83"/>
      <c r="E251" s="72" t="s">
        <v>98</v>
      </c>
      <c r="F251" s="70" t="s">
        <v>85</v>
      </c>
      <c r="G251" s="70" t="s">
        <v>6</v>
      </c>
      <c r="H251" s="70" t="s">
        <v>73</v>
      </c>
      <c r="I251" s="70" t="s">
        <v>149</v>
      </c>
      <c r="J251" s="5">
        <v>2026</v>
      </c>
      <c r="K251" s="67">
        <v>370</v>
      </c>
      <c r="L251" s="68">
        <v>1</v>
      </c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5"/>
      <c r="Y251" s="65"/>
      <c r="Z251" s="65"/>
      <c r="AA251" s="65"/>
      <c r="AB251" s="65"/>
      <c r="AC251" s="65"/>
      <c r="AD251" s="65"/>
      <c r="AE251" s="65">
        <f>($K251*$D251)/$L251</f>
        <v>0</v>
      </c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</row>
    <row r="252" spans="1:48" ht="16" x14ac:dyDescent="0.35">
      <c r="A252" s="108" t="s">
        <v>84</v>
      </c>
      <c r="B252" s="72" t="s">
        <v>129</v>
      </c>
      <c r="C252" s="71" t="s">
        <v>271</v>
      </c>
      <c r="D252" s="83"/>
      <c r="E252" s="72" t="s">
        <v>98</v>
      </c>
      <c r="F252" s="70" t="s">
        <v>85</v>
      </c>
      <c r="G252" s="70" t="s">
        <v>6</v>
      </c>
      <c r="H252" s="70" t="s">
        <v>73</v>
      </c>
      <c r="I252" s="70" t="s">
        <v>149</v>
      </c>
      <c r="J252" s="5">
        <v>2026</v>
      </c>
      <c r="K252" s="67">
        <v>370</v>
      </c>
      <c r="L252" s="68">
        <v>1</v>
      </c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5"/>
      <c r="Y252" s="65"/>
      <c r="Z252" s="65"/>
      <c r="AA252" s="65"/>
      <c r="AB252" s="65"/>
      <c r="AC252" s="65"/>
      <c r="AD252" s="65"/>
      <c r="AE252" s="65"/>
      <c r="AF252" s="65">
        <f>($K252*$D252)/$L252</f>
        <v>0</v>
      </c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</row>
    <row r="253" spans="1:48" ht="16" x14ac:dyDescent="0.35">
      <c r="A253" s="108" t="s">
        <v>84</v>
      </c>
      <c r="B253" s="72" t="s">
        <v>129</v>
      </c>
      <c r="C253" s="71" t="s">
        <v>272</v>
      </c>
      <c r="D253" s="83"/>
      <c r="E253" s="72" t="s">
        <v>98</v>
      </c>
      <c r="F253" s="70" t="s">
        <v>85</v>
      </c>
      <c r="G253" s="70" t="s">
        <v>6</v>
      </c>
      <c r="H253" s="70" t="s">
        <v>73</v>
      </c>
      <c r="I253" s="70" t="s">
        <v>149</v>
      </c>
      <c r="J253" s="5">
        <v>2026</v>
      </c>
      <c r="K253" s="67">
        <v>370</v>
      </c>
      <c r="L253" s="68">
        <v>1</v>
      </c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5"/>
      <c r="Y253" s="65"/>
      <c r="Z253" s="65"/>
      <c r="AA253" s="65"/>
      <c r="AB253" s="65"/>
      <c r="AC253" s="65"/>
      <c r="AD253" s="65"/>
      <c r="AE253" s="65"/>
      <c r="AF253" s="65"/>
      <c r="AG253" s="65">
        <f>($K253*$D253)/$L253</f>
        <v>0</v>
      </c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</row>
    <row r="254" spans="1:48" ht="16" x14ac:dyDescent="0.35">
      <c r="A254" s="108" t="s">
        <v>84</v>
      </c>
      <c r="B254" s="72" t="s">
        <v>129</v>
      </c>
      <c r="C254" s="71" t="s">
        <v>273</v>
      </c>
      <c r="D254" s="83"/>
      <c r="E254" s="72" t="s">
        <v>98</v>
      </c>
      <c r="F254" s="70" t="s">
        <v>85</v>
      </c>
      <c r="G254" s="70" t="s">
        <v>6</v>
      </c>
      <c r="H254" s="70" t="s">
        <v>73</v>
      </c>
      <c r="I254" s="70" t="s">
        <v>149</v>
      </c>
      <c r="J254" s="5">
        <v>2026</v>
      </c>
      <c r="K254" s="67">
        <v>370</v>
      </c>
      <c r="L254" s="68">
        <v>1</v>
      </c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>
        <f>($K254*$D254)/$L254</f>
        <v>0</v>
      </c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</row>
    <row r="255" spans="1:48" ht="16" x14ac:dyDescent="0.35">
      <c r="A255" s="108" t="s">
        <v>84</v>
      </c>
      <c r="B255" s="72" t="s">
        <v>129</v>
      </c>
      <c r="C255" s="71" t="s">
        <v>274</v>
      </c>
      <c r="D255" s="83"/>
      <c r="E255" s="72" t="s">
        <v>98</v>
      </c>
      <c r="F255" s="70" t="s">
        <v>85</v>
      </c>
      <c r="G255" s="70" t="s">
        <v>6</v>
      </c>
      <c r="H255" s="70" t="s">
        <v>73</v>
      </c>
      <c r="I255" s="70" t="s">
        <v>149</v>
      </c>
      <c r="J255" s="5">
        <v>2026</v>
      </c>
      <c r="K255" s="67">
        <v>370</v>
      </c>
      <c r="L255" s="68">
        <v>1</v>
      </c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>
        <f>($K255*$D255)/$L255</f>
        <v>0</v>
      </c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</row>
    <row r="256" spans="1:48" ht="16" x14ac:dyDescent="0.35">
      <c r="A256" s="108" t="s">
        <v>84</v>
      </c>
      <c r="B256" s="72" t="s">
        <v>129</v>
      </c>
      <c r="C256" s="71" t="s">
        <v>275</v>
      </c>
      <c r="D256" s="83"/>
      <c r="E256" s="72" t="s">
        <v>98</v>
      </c>
      <c r="F256" s="70" t="s">
        <v>85</v>
      </c>
      <c r="G256" s="70" t="s">
        <v>6</v>
      </c>
      <c r="H256" s="70" t="s">
        <v>73</v>
      </c>
      <c r="I256" s="70" t="s">
        <v>149</v>
      </c>
      <c r="J256" s="5">
        <v>2026</v>
      </c>
      <c r="K256" s="67">
        <v>370</v>
      </c>
      <c r="L256" s="68">
        <v>1</v>
      </c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>
        <f>($K256*$D256)/$L256</f>
        <v>0</v>
      </c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</row>
    <row r="257" spans="1:48" ht="16" x14ac:dyDescent="0.35">
      <c r="A257" s="108" t="s">
        <v>84</v>
      </c>
      <c r="B257" s="72" t="s">
        <v>129</v>
      </c>
      <c r="C257" s="71" t="s">
        <v>276</v>
      </c>
      <c r="D257" s="83"/>
      <c r="E257" s="72" t="s">
        <v>98</v>
      </c>
      <c r="F257" s="70" t="s">
        <v>85</v>
      </c>
      <c r="G257" s="70" t="s">
        <v>6</v>
      </c>
      <c r="H257" s="70" t="s">
        <v>73</v>
      </c>
      <c r="I257" s="70" t="s">
        <v>149</v>
      </c>
      <c r="J257" s="5">
        <v>2026</v>
      </c>
      <c r="K257" s="67">
        <v>77</v>
      </c>
      <c r="L257" s="68">
        <v>1</v>
      </c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5"/>
      <c r="Y257" s="65">
        <f>($K257*$D257)/$L257</f>
        <v>0</v>
      </c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</row>
    <row r="258" spans="1:48" ht="16" x14ac:dyDescent="0.35">
      <c r="A258" s="108" t="s">
        <v>84</v>
      </c>
      <c r="B258" s="72" t="s">
        <v>129</v>
      </c>
      <c r="C258" s="71" t="s">
        <v>277</v>
      </c>
      <c r="D258" s="83"/>
      <c r="E258" s="72" t="s">
        <v>98</v>
      </c>
      <c r="F258" s="70" t="s">
        <v>85</v>
      </c>
      <c r="G258" s="70" t="s">
        <v>6</v>
      </c>
      <c r="H258" s="70" t="s">
        <v>73</v>
      </c>
      <c r="I258" s="70" t="s">
        <v>149</v>
      </c>
      <c r="J258" s="5">
        <v>2026</v>
      </c>
      <c r="K258" s="67">
        <v>77</v>
      </c>
      <c r="L258" s="68">
        <v>1</v>
      </c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5"/>
      <c r="Y258" s="65"/>
      <c r="Z258" s="65">
        <f>($K258*$D258)/$L258</f>
        <v>0</v>
      </c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</row>
    <row r="259" spans="1:48" ht="16" x14ac:dyDescent="0.35">
      <c r="A259" s="108" t="s">
        <v>84</v>
      </c>
      <c r="B259" s="72" t="s">
        <v>129</v>
      </c>
      <c r="C259" s="71" t="s">
        <v>278</v>
      </c>
      <c r="D259" s="83"/>
      <c r="E259" s="72" t="s">
        <v>98</v>
      </c>
      <c r="F259" s="70" t="s">
        <v>85</v>
      </c>
      <c r="G259" s="70" t="s">
        <v>6</v>
      </c>
      <c r="H259" s="70" t="s">
        <v>73</v>
      </c>
      <c r="I259" s="70" t="s">
        <v>149</v>
      </c>
      <c r="J259" s="5">
        <v>2026</v>
      </c>
      <c r="K259" s="67">
        <v>77</v>
      </c>
      <c r="L259" s="68">
        <v>1</v>
      </c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5"/>
      <c r="Y259" s="65"/>
      <c r="Z259" s="65"/>
      <c r="AA259" s="65">
        <f>($K259*$D259)/$L259</f>
        <v>0</v>
      </c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</row>
    <row r="260" spans="1:48" ht="16" x14ac:dyDescent="0.35">
      <c r="A260" s="108" t="s">
        <v>84</v>
      </c>
      <c r="B260" s="72" t="s">
        <v>129</v>
      </c>
      <c r="C260" s="71" t="s">
        <v>279</v>
      </c>
      <c r="D260" s="83"/>
      <c r="E260" s="72" t="s">
        <v>98</v>
      </c>
      <c r="F260" s="70" t="s">
        <v>85</v>
      </c>
      <c r="G260" s="70" t="s">
        <v>6</v>
      </c>
      <c r="H260" s="70" t="s">
        <v>73</v>
      </c>
      <c r="I260" s="70" t="s">
        <v>149</v>
      </c>
      <c r="J260" s="5">
        <v>2026</v>
      </c>
      <c r="K260" s="67">
        <v>77</v>
      </c>
      <c r="L260" s="68">
        <v>1</v>
      </c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5"/>
      <c r="Y260" s="65"/>
      <c r="Z260" s="65"/>
      <c r="AA260" s="65"/>
      <c r="AB260" s="65">
        <f>($K260*$D260)/$L260</f>
        <v>0</v>
      </c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</row>
    <row r="261" spans="1:48" ht="16" x14ac:dyDescent="0.35">
      <c r="A261" s="108" t="s">
        <v>84</v>
      </c>
      <c r="B261" s="72" t="s">
        <v>129</v>
      </c>
      <c r="C261" s="71" t="s">
        <v>280</v>
      </c>
      <c r="D261" s="83"/>
      <c r="E261" s="72" t="s">
        <v>98</v>
      </c>
      <c r="F261" s="70" t="s">
        <v>85</v>
      </c>
      <c r="G261" s="70" t="s">
        <v>6</v>
      </c>
      <c r="H261" s="70" t="s">
        <v>73</v>
      </c>
      <c r="I261" s="70" t="s">
        <v>149</v>
      </c>
      <c r="J261" s="5">
        <v>2026</v>
      </c>
      <c r="K261" s="67">
        <v>77</v>
      </c>
      <c r="L261" s="68">
        <v>1</v>
      </c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5"/>
      <c r="Y261" s="65"/>
      <c r="Z261" s="65"/>
      <c r="AA261" s="65"/>
      <c r="AB261" s="65"/>
      <c r="AC261" s="65">
        <f>($K261*$D261)/$L261</f>
        <v>0</v>
      </c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</row>
    <row r="262" spans="1:48" ht="16" x14ac:dyDescent="0.35">
      <c r="A262" s="108" t="s">
        <v>84</v>
      </c>
      <c r="B262" s="72" t="s">
        <v>129</v>
      </c>
      <c r="C262" s="71" t="s">
        <v>281</v>
      </c>
      <c r="D262" s="83"/>
      <c r="E262" s="72" t="s">
        <v>98</v>
      </c>
      <c r="F262" s="70" t="s">
        <v>85</v>
      </c>
      <c r="G262" s="70" t="s">
        <v>6</v>
      </c>
      <c r="H262" s="70" t="s">
        <v>73</v>
      </c>
      <c r="I262" s="70" t="s">
        <v>149</v>
      </c>
      <c r="J262" s="5">
        <v>2026</v>
      </c>
      <c r="K262" s="67">
        <v>77</v>
      </c>
      <c r="L262" s="68">
        <v>1</v>
      </c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5"/>
      <c r="Y262" s="65"/>
      <c r="Z262" s="65"/>
      <c r="AA262" s="65"/>
      <c r="AB262" s="65"/>
      <c r="AC262" s="65"/>
      <c r="AD262" s="65">
        <f>($K262*$D262)/$L262</f>
        <v>0</v>
      </c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</row>
    <row r="263" spans="1:48" ht="16" x14ac:dyDescent="0.35">
      <c r="A263" s="108" t="s">
        <v>84</v>
      </c>
      <c r="B263" s="72" t="s">
        <v>129</v>
      </c>
      <c r="C263" s="71" t="s">
        <v>282</v>
      </c>
      <c r="D263" s="83"/>
      <c r="E263" s="72" t="s">
        <v>98</v>
      </c>
      <c r="F263" s="70" t="s">
        <v>85</v>
      </c>
      <c r="G263" s="70" t="s">
        <v>6</v>
      </c>
      <c r="H263" s="70" t="s">
        <v>73</v>
      </c>
      <c r="I263" s="70" t="s">
        <v>149</v>
      </c>
      <c r="J263" s="5">
        <v>2026</v>
      </c>
      <c r="K263" s="67">
        <v>77</v>
      </c>
      <c r="L263" s="68">
        <v>1</v>
      </c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5"/>
      <c r="Y263" s="65"/>
      <c r="Z263" s="65"/>
      <c r="AA263" s="65"/>
      <c r="AB263" s="65"/>
      <c r="AC263" s="65"/>
      <c r="AD263" s="65"/>
      <c r="AE263" s="65">
        <f>($K263*$D263)/$L263</f>
        <v>0</v>
      </c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</row>
    <row r="264" spans="1:48" ht="16" x14ac:dyDescent="0.35">
      <c r="A264" s="108" t="s">
        <v>84</v>
      </c>
      <c r="B264" s="72" t="s">
        <v>129</v>
      </c>
      <c r="C264" s="71" t="s">
        <v>283</v>
      </c>
      <c r="D264" s="83"/>
      <c r="E264" s="72" t="s">
        <v>98</v>
      </c>
      <c r="F264" s="70" t="s">
        <v>85</v>
      </c>
      <c r="G264" s="70" t="s">
        <v>6</v>
      </c>
      <c r="H264" s="70" t="s">
        <v>73</v>
      </c>
      <c r="I264" s="70" t="s">
        <v>149</v>
      </c>
      <c r="J264" s="5">
        <v>2026</v>
      </c>
      <c r="K264" s="67">
        <v>77</v>
      </c>
      <c r="L264" s="68">
        <v>1</v>
      </c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5"/>
      <c r="Y264" s="65"/>
      <c r="Z264" s="65"/>
      <c r="AA264" s="65"/>
      <c r="AB264" s="65"/>
      <c r="AC264" s="65"/>
      <c r="AD264" s="65"/>
      <c r="AE264" s="65"/>
      <c r="AF264" s="65">
        <f>($K264*$D264)/$L264</f>
        <v>0</v>
      </c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</row>
    <row r="265" spans="1:48" ht="16" x14ac:dyDescent="0.35">
      <c r="A265" s="108" t="s">
        <v>84</v>
      </c>
      <c r="B265" s="72" t="s">
        <v>129</v>
      </c>
      <c r="C265" s="71" t="s">
        <v>284</v>
      </c>
      <c r="D265" s="83"/>
      <c r="E265" s="72" t="s">
        <v>98</v>
      </c>
      <c r="F265" s="70" t="s">
        <v>85</v>
      </c>
      <c r="G265" s="70" t="s">
        <v>6</v>
      </c>
      <c r="H265" s="70" t="s">
        <v>73</v>
      </c>
      <c r="I265" s="70" t="s">
        <v>149</v>
      </c>
      <c r="J265" s="5">
        <v>2026</v>
      </c>
      <c r="K265" s="67">
        <v>77</v>
      </c>
      <c r="L265" s="68">
        <v>1</v>
      </c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5"/>
      <c r="Y265" s="65"/>
      <c r="Z265" s="65"/>
      <c r="AA265" s="65"/>
      <c r="AB265" s="65"/>
      <c r="AC265" s="65"/>
      <c r="AD265" s="65"/>
      <c r="AE265" s="65"/>
      <c r="AF265" s="65"/>
      <c r="AG265" s="65">
        <f>($K265*$D265)/$L265</f>
        <v>0</v>
      </c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</row>
    <row r="266" spans="1:48" ht="16" x14ac:dyDescent="0.35">
      <c r="A266" s="108" t="s">
        <v>84</v>
      </c>
      <c r="B266" s="72" t="s">
        <v>129</v>
      </c>
      <c r="C266" s="71" t="s">
        <v>285</v>
      </c>
      <c r="D266" s="83"/>
      <c r="E266" s="72" t="s">
        <v>98</v>
      </c>
      <c r="F266" s="70" t="s">
        <v>85</v>
      </c>
      <c r="G266" s="70" t="s">
        <v>6</v>
      </c>
      <c r="H266" s="70" t="s">
        <v>73</v>
      </c>
      <c r="I266" s="70" t="s">
        <v>149</v>
      </c>
      <c r="J266" s="5">
        <v>2026</v>
      </c>
      <c r="K266" s="67">
        <v>77</v>
      </c>
      <c r="L266" s="68">
        <v>1</v>
      </c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>
        <f>($K266*$D266)/$L266</f>
        <v>0</v>
      </c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</row>
    <row r="267" spans="1:48" ht="16" x14ac:dyDescent="0.35">
      <c r="A267" s="108" t="s">
        <v>84</v>
      </c>
      <c r="B267" s="72" t="s">
        <v>129</v>
      </c>
      <c r="C267" s="71" t="s">
        <v>286</v>
      </c>
      <c r="D267" s="83"/>
      <c r="E267" s="72" t="s">
        <v>98</v>
      </c>
      <c r="F267" s="70" t="s">
        <v>85</v>
      </c>
      <c r="G267" s="70" t="s">
        <v>6</v>
      </c>
      <c r="H267" s="70" t="s">
        <v>73</v>
      </c>
      <c r="I267" s="70" t="s">
        <v>149</v>
      </c>
      <c r="J267" s="5">
        <v>2026</v>
      </c>
      <c r="K267" s="67">
        <v>77</v>
      </c>
      <c r="L267" s="68">
        <v>1</v>
      </c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>
        <f>($K267*$D267)/$L267</f>
        <v>0</v>
      </c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</row>
    <row r="268" spans="1:48" ht="16" x14ac:dyDescent="0.35">
      <c r="A268" s="108" t="s">
        <v>84</v>
      </c>
      <c r="B268" s="72" t="s">
        <v>129</v>
      </c>
      <c r="C268" s="71" t="s">
        <v>287</v>
      </c>
      <c r="D268" s="83"/>
      <c r="E268" s="72" t="s">
        <v>98</v>
      </c>
      <c r="F268" s="70" t="s">
        <v>85</v>
      </c>
      <c r="G268" s="70" t="s">
        <v>6</v>
      </c>
      <c r="H268" s="70" t="s">
        <v>73</v>
      </c>
      <c r="I268" s="70" t="s">
        <v>149</v>
      </c>
      <c r="J268" s="5">
        <v>2026</v>
      </c>
      <c r="K268" s="67">
        <v>77</v>
      </c>
      <c r="L268" s="68">
        <v>1</v>
      </c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>
        <f>($K268*$D268)/$L268</f>
        <v>0</v>
      </c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</row>
    <row r="269" spans="1:48" ht="16" x14ac:dyDescent="0.35">
      <c r="A269" s="108" t="s">
        <v>84</v>
      </c>
      <c r="B269" s="72" t="s">
        <v>127</v>
      </c>
      <c r="C269" s="71" t="s">
        <v>519</v>
      </c>
      <c r="D269" s="83"/>
      <c r="E269" s="72" t="s">
        <v>98</v>
      </c>
      <c r="F269" s="70" t="s">
        <v>85</v>
      </c>
      <c r="G269" s="70" t="s">
        <v>8</v>
      </c>
      <c r="H269" s="70" t="s">
        <v>73</v>
      </c>
      <c r="I269" s="70" t="s">
        <v>149</v>
      </c>
      <c r="J269" s="5">
        <v>2026</v>
      </c>
      <c r="K269" s="67">
        <v>50</v>
      </c>
      <c r="L269" s="68">
        <v>1</v>
      </c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5"/>
      <c r="Y269" s="65"/>
      <c r="Z269" s="65"/>
      <c r="AA269" s="65"/>
      <c r="AB269" s="65">
        <f>($K269*$D269)/$L269</f>
        <v>0</v>
      </c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</row>
    <row r="270" spans="1:48" ht="16" x14ac:dyDescent="0.35">
      <c r="A270" s="108" t="s">
        <v>84</v>
      </c>
      <c r="B270" s="72" t="s">
        <v>127</v>
      </c>
      <c r="C270" s="71" t="s">
        <v>520</v>
      </c>
      <c r="D270" s="83"/>
      <c r="E270" s="72" t="s">
        <v>98</v>
      </c>
      <c r="F270" s="70" t="s">
        <v>85</v>
      </c>
      <c r="G270" s="70" t="s">
        <v>8</v>
      </c>
      <c r="H270" s="70" t="s">
        <v>73</v>
      </c>
      <c r="I270" s="70" t="s">
        <v>149</v>
      </c>
      <c r="J270" s="5">
        <v>2026</v>
      </c>
      <c r="K270" s="67">
        <v>50</v>
      </c>
      <c r="L270" s="68">
        <v>1</v>
      </c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5"/>
      <c r="Y270" s="65"/>
      <c r="Z270" s="65"/>
      <c r="AA270" s="65"/>
      <c r="AB270" s="65"/>
      <c r="AC270" s="65">
        <f>($K270*$D270)/$L270</f>
        <v>0</v>
      </c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</row>
    <row r="271" spans="1:48" ht="16" x14ac:dyDescent="0.35">
      <c r="A271" s="108" t="s">
        <v>84</v>
      </c>
      <c r="B271" s="72" t="s">
        <v>127</v>
      </c>
      <c r="C271" s="71" t="s">
        <v>521</v>
      </c>
      <c r="D271" s="83"/>
      <c r="E271" s="72" t="s">
        <v>98</v>
      </c>
      <c r="F271" s="70" t="s">
        <v>85</v>
      </c>
      <c r="G271" s="70" t="s">
        <v>8</v>
      </c>
      <c r="H271" s="70" t="s">
        <v>73</v>
      </c>
      <c r="I271" s="70" t="s">
        <v>149</v>
      </c>
      <c r="J271" s="5">
        <v>2026</v>
      </c>
      <c r="K271" s="67">
        <v>50</v>
      </c>
      <c r="L271" s="68">
        <v>1</v>
      </c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5"/>
      <c r="Y271" s="65"/>
      <c r="Z271" s="65"/>
      <c r="AA271" s="65"/>
      <c r="AB271" s="65"/>
      <c r="AC271" s="65"/>
      <c r="AD271" s="65">
        <f>($K271*$D271)/$L271</f>
        <v>0</v>
      </c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</row>
    <row r="272" spans="1:48" ht="16" x14ac:dyDescent="0.35">
      <c r="A272" s="108" t="s">
        <v>84</v>
      </c>
      <c r="B272" s="72" t="s">
        <v>127</v>
      </c>
      <c r="C272" s="71" t="s">
        <v>607</v>
      </c>
      <c r="D272" s="83">
        <v>64</v>
      </c>
      <c r="E272" s="72" t="s">
        <v>98</v>
      </c>
      <c r="F272" s="70" t="s">
        <v>85</v>
      </c>
      <c r="G272" s="70" t="s">
        <v>8</v>
      </c>
      <c r="H272" s="70" t="s">
        <v>73</v>
      </c>
      <c r="I272" s="70" t="s">
        <v>159</v>
      </c>
      <c r="J272" s="5">
        <v>2026</v>
      </c>
      <c r="K272" s="67">
        <v>150</v>
      </c>
      <c r="L272" s="68">
        <v>2</v>
      </c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5"/>
      <c r="Y272" s="65"/>
      <c r="Z272" s="65"/>
      <c r="AA272" s="65"/>
      <c r="AB272" s="65"/>
      <c r="AC272" s="65"/>
      <c r="AD272" s="65"/>
      <c r="AE272" s="65">
        <f>($K272*$D272)/$L272</f>
        <v>4800</v>
      </c>
      <c r="AF272" s="65"/>
      <c r="AG272" s="65"/>
      <c r="AH272" s="65">
        <f>($K272*$D272)/$L272</f>
        <v>4800</v>
      </c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</row>
    <row r="273" spans="1:48" ht="16" x14ac:dyDescent="0.35">
      <c r="A273" s="108" t="s">
        <v>84</v>
      </c>
      <c r="B273" s="72" t="s">
        <v>127</v>
      </c>
      <c r="C273" s="71" t="s">
        <v>606</v>
      </c>
      <c r="D273" s="83">
        <v>10</v>
      </c>
      <c r="E273" s="72" t="s">
        <v>98</v>
      </c>
      <c r="F273" s="70" t="s">
        <v>85</v>
      </c>
      <c r="G273" s="70" t="s">
        <v>8</v>
      </c>
      <c r="H273" s="70" t="s">
        <v>73</v>
      </c>
      <c r="I273" s="70" t="s">
        <v>163</v>
      </c>
      <c r="J273" s="5">
        <v>2026</v>
      </c>
      <c r="K273" s="67">
        <v>310</v>
      </c>
      <c r="L273" s="68">
        <v>2</v>
      </c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5"/>
      <c r="Y273" s="65"/>
      <c r="Z273" s="65"/>
      <c r="AA273" s="65"/>
      <c r="AB273" s="65"/>
      <c r="AC273" s="65"/>
      <c r="AD273" s="65"/>
      <c r="AE273" s="65"/>
      <c r="AF273" s="65"/>
      <c r="AG273" s="65">
        <f>($K273*$D273)/$L273</f>
        <v>1550</v>
      </c>
      <c r="AH273" s="65">
        <f>($K273*$D273)/$L273</f>
        <v>1550</v>
      </c>
      <c r="AI273" s="65"/>
      <c r="AJ273" s="65">
        <f>($K273*$D273)/$L273</f>
        <v>1550</v>
      </c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</row>
    <row r="274" spans="1:48" ht="16" x14ac:dyDescent="0.35">
      <c r="A274" s="108" t="s">
        <v>84</v>
      </c>
      <c r="B274" s="72" t="s">
        <v>127</v>
      </c>
      <c r="C274" s="71" t="s">
        <v>608</v>
      </c>
      <c r="D274" s="83">
        <v>54</v>
      </c>
      <c r="E274" s="72" t="s">
        <v>98</v>
      </c>
      <c r="F274" s="70" t="s">
        <v>85</v>
      </c>
      <c r="G274" s="70" t="s">
        <v>8</v>
      </c>
      <c r="H274" s="70" t="s">
        <v>73</v>
      </c>
      <c r="I274" s="70" t="s">
        <v>161</v>
      </c>
      <c r="J274" s="5">
        <v>2026</v>
      </c>
      <c r="K274" s="67">
        <v>88</v>
      </c>
      <c r="L274" s="68">
        <v>5</v>
      </c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5"/>
      <c r="Y274" s="65"/>
      <c r="Z274" s="65"/>
      <c r="AA274" s="65"/>
      <c r="AB274" s="65"/>
      <c r="AC274" s="65"/>
      <c r="AD274" s="65"/>
      <c r="AE274" s="65"/>
      <c r="AF274" s="65">
        <f>($K274*$D274)/$L274</f>
        <v>950.4</v>
      </c>
      <c r="AG274" s="65">
        <f>($K274*$D274)/$L274</f>
        <v>950.4</v>
      </c>
      <c r="AH274" s="65">
        <f>($K274*$D274)/$L274</f>
        <v>950.4</v>
      </c>
      <c r="AI274" s="65">
        <f>($K274*$D274)/$L274</f>
        <v>950.4</v>
      </c>
      <c r="AJ274" s="65">
        <f>($K274*$D274)/$L274</f>
        <v>950.4</v>
      </c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</row>
    <row r="275" spans="1:48" ht="16" x14ac:dyDescent="0.35">
      <c r="A275" s="108" t="s">
        <v>84</v>
      </c>
      <c r="B275" s="72" t="s">
        <v>129</v>
      </c>
      <c r="C275" s="71" t="s">
        <v>483</v>
      </c>
      <c r="D275" s="83"/>
      <c r="E275" s="72" t="s">
        <v>98</v>
      </c>
      <c r="F275" s="70" t="s">
        <v>85</v>
      </c>
      <c r="G275" s="70" t="s">
        <v>8</v>
      </c>
      <c r="H275" s="70" t="s">
        <v>73</v>
      </c>
      <c r="I275" s="70" t="s">
        <v>149</v>
      </c>
      <c r="J275" s="5">
        <v>2026</v>
      </c>
      <c r="K275" s="67">
        <v>50</v>
      </c>
      <c r="L275" s="68">
        <v>1</v>
      </c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5"/>
      <c r="Y275" s="65"/>
      <c r="Z275" s="65"/>
      <c r="AA275" s="65"/>
      <c r="AB275" s="65"/>
      <c r="AC275" s="65">
        <f>($K275*$D275)/$L275</f>
        <v>0</v>
      </c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</row>
    <row r="276" spans="1:48" ht="16" x14ac:dyDescent="0.35">
      <c r="A276" s="108" t="s">
        <v>84</v>
      </c>
      <c r="B276" s="72" t="s">
        <v>129</v>
      </c>
      <c r="C276" s="71" t="s">
        <v>484</v>
      </c>
      <c r="D276" s="83"/>
      <c r="E276" s="72" t="s">
        <v>98</v>
      </c>
      <c r="F276" s="70" t="s">
        <v>85</v>
      </c>
      <c r="G276" s="70" t="s">
        <v>8</v>
      </c>
      <c r="H276" s="70" t="s">
        <v>73</v>
      </c>
      <c r="I276" s="70" t="s">
        <v>149</v>
      </c>
      <c r="J276" s="5">
        <v>2026</v>
      </c>
      <c r="K276" s="67">
        <v>50</v>
      </c>
      <c r="L276" s="68">
        <v>1</v>
      </c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5"/>
      <c r="Y276" s="65"/>
      <c r="Z276" s="65"/>
      <c r="AA276" s="65"/>
      <c r="AB276" s="65"/>
      <c r="AC276" s="65"/>
      <c r="AD276" s="65">
        <f>($K276*$D276)/$L276</f>
        <v>0</v>
      </c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</row>
    <row r="277" spans="1:48" ht="16" x14ac:dyDescent="0.35">
      <c r="A277" s="108" t="s">
        <v>84</v>
      </c>
      <c r="B277" s="72" t="s">
        <v>129</v>
      </c>
      <c r="C277" s="71" t="s">
        <v>485</v>
      </c>
      <c r="D277" s="83"/>
      <c r="E277" s="72" t="s">
        <v>98</v>
      </c>
      <c r="F277" s="70" t="s">
        <v>85</v>
      </c>
      <c r="G277" s="70" t="s">
        <v>8</v>
      </c>
      <c r="H277" s="70" t="s">
        <v>73</v>
      </c>
      <c r="I277" s="70" t="s">
        <v>149</v>
      </c>
      <c r="J277" s="5">
        <v>2026</v>
      </c>
      <c r="K277" s="67">
        <v>50</v>
      </c>
      <c r="L277" s="68">
        <v>1</v>
      </c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5"/>
      <c r="Y277" s="65"/>
      <c r="Z277" s="65"/>
      <c r="AA277" s="65"/>
      <c r="AB277" s="65"/>
      <c r="AC277" s="65"/>
      <c r="AD277" s="65"/>
      <c r="AE277" s="65">
        <f>($K277*$D277)/$L277</f>
        <v>0</v>
      </c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</row>
    <row r="278" spans="1:48" ht="16" x14ac:dyDescent="0.35">
      <c r="A278" s="108" t="s">
        <v>84</v>
      </c>
      <c r="B278" s="72" t="s">
        <v>129</v>
      </c>
      <c r="C278" s="71" t="s">
        <v>486</v>
      </c>
      <c r="D278" s="83"/>
      <c r="E278" s="72" t="s">
        <v>98</v>
      </c>
      <c r="F278" s="70" t="s">
        <v>85</v>
      </c>
      <c r="G278" s="70" t="s">
        <v>8</v>
      </c>
      <c r="H278" s="70" t="s">
        <v>73</v>
      </c>
      <c r="I278" s="70" t="s">
        <v>149</v>
      </c>
      <c r="J278" s="5">
        <v>2026</v>
      </c>
      <c r="K278" s="67">
        <v>50</v>
      </c>
      <c r="L278" s="68">
        <v>1</v>
      </c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5"/>
      <c r="Y278" s="65"/>
      <c r="Z278" s="65"/>
      <c r="AA278" s="65"/>
      <c r="AB278" s="65"/>
      <c r="AC278" s="65"/>
      <c r="AD278" s="65"/>
      <c r="AE278" s="65"/>
      <c r="AF278" s="65">
        <f>($K278*$D278)/$L278</f>
        <v>0</v>
      </c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</row>
    <row r="279" spans="1:48" ht="16" x14ac:dyDescent="0.35">
      <c r="A279" s="108" t="s">
        <v>84</v>
      </c>
      <c r="B279" s="72" t="s">
        <v>129</v>
      </c>
      <c r="C279" s="71" t="s">
        <v>487</v>
      </c>
      <c r="D279" s="83"/>
      <c r="E279" s="72" t="s">
        <v>98</v>
      </c>
      <c r="F279" s="70" t="s">
        <v>85</v>
      </c>
      <c r="G279" s="70" t="s">
        <v>8</v>
      </c>
      <c r="H279" s="70" t="s">
        <v>73</v>
      </c>
      <c r="I279" s="70" t="s">
        <v>149</v>
      </c>
      <c r="J279" s="5">
        <v>2026</v>
      </c>
      <c r="K279" s="67">
        <v>50</v>
      </c>
      <c r="L279" s="68">
        <v>1</v>
      </c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5"/>
      <c r="Y279" s="65"/>
      <c r="Z279" s="65"/>
      <c r="AA279" s="65"/>
      <c r="AB279" s="65"/>
      <c r="AC279" s="65"/>
      <c r="AD279" s="65"/>
      <c r="AE279" s="65"/>
      <c r="AF279" s="65"/>
      <c r="AG279" s="65">
        <f>($K279*$D279)/$L279</f>
        <v>0</v>
      </c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</row>
    <row r="280" spans="1:48" ht="16" x14ac:dyDescent="0.35">
      <c r="A280" s="108" t="s">
        <v>84</v>
      </c>
      <c r="B280" s="72" t="s">
        <v>129</v>
      </c>
      <c r="C280" s="71" t="s">
        <v>488</v>
      </c>
      <c r="D280" s="83"/>
      <c r="E280" s="72" t="s">
        <v>98</v>
      </c>
      <c r="F280" s="70" t="s">
        <v>85</v>
      </c>
      <c r="G280" s="70" t="s">
        <v>8</v>
      </c>
      <c r="H280" s="70" t="s">
        <v>73</v>
      </c>
      <c r="I280" s="70" t="s">
        <v>149</v>
      </c>
      <c r="J280" s="5">
        <v>2026</v>
      </c>
      <c r="K280" s="67">
        <v>50</v>
      </c>
      <c r="L280" s="68">
        <v>1</v>
      </c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>
        <f>($K280*$D280)/$L280</f>
        <v>0</v>
      </c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</row>
    <row r="281" spans="1:48" ht="16" x14ac:dyDescent="0.35">
      <c r="A281" s="108" t="s">
        <v>84</v>
      </c>
      <c r="B281" s="72" t="s">
        <v>129</v>
      </c>
      <c r="C281" s="71" t="s">
        <v>489</v>
      </c>
      <c r="D281" s="83"/>
      <c r="E281" s="72" t="s">
        <v>98</v>
      </c>
      <c r="F281" s="70" t="s">
        <v>85</v>
      </c>
      <c r="G281" s="70" t="s">
        <v>8</v>
      </c>
      <c r="H281" s="70" t="s">
        <v>73</v>
      </c>
      <c r="I281" s="70" t="s">
        <v>149</v>
      </c>
      <c r="J281" s="5">
        <v>2026</v>
      </c>
      <c r="K281" s="67">
        <v>50</v>
      </c>
      <c r="L281" s="68">
        <v>1</v>
      </c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>
        <f>($K281*$D281)/$L281</f>
        <v>0</v>
      </c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</row>
    <row r="282" spans="1:48" ht="16" x14ac:dyDescent="0.35">
      <c r="A282" s="108" t="s">
        <v>84</v>
      </c>
      <c r="B282" s="72" t="s">
        <v>129</v>
      </c>
      <c r="C282" s="71" t="s">
        <v>490</v>
      </c>
      <c r="D282" s="83"/>
      <c r="E282" s="72" t="s">
        <v>98</v>
      </c>
      <c r="F282" s="70" t="s">
        <v>85</v>
      </c>
      <c r="G282" s="70" t="s">
        <v>8</v>
      </c>
      <c r="H282" s="70" t="s">
        <v>73</v>
      </c>
      <c r="I282" s="70" t="s">
        <v>149</v>
      </c>
      <c r="J282" s="5">
        <v>2026</v>
      </c>
      <c r="K282" s="67">
        <v>50</v>
      </c>
      <c r="L282" s="68">
        <v>1</v>
      </c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>
        <f>($K282*$D282)/$L282</f>
        <v>0</v>
      </c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</row>
    <row r="283" spans="1:48" ht="16" x14ac:dyDescent="0.35">
      <c r="A283" s="108" t="s">
        <v>84</v>
      </c>
      <c r="B283" s="72" t="s">
        <v>129</v>
      </c>
      <c r="C283" s="71" t="s">
        <v>508</v>
      </c>
      <c r="D283" s="83"/>
      <c r="E283" s="72" t="s">
        <v>98</v>
      </c>
      <c r="F283" s="70" t="s">
        <v>85</v>
      </c>
      <c r="G283" s="70" t="s">
        <v>8</v>
      </c>
      <c r="H283" s="70" t="s">
        <v>73</v>
      </c>
      <c r="I283" s="70" t="s">
        <v>149</v>
      </c>
      <c r="J283" s="5">
        <v>2026</v>
      </c>
      <c r="K283" s="67">
        <v>340</v>
      </c>
      <c r="L283" s="68">
        <v>1</v>
      </c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5"/>
      <c r="Y283" s="65"/>
      <c r="Z283" s="65"/>
      <c r="AA283" s="65"/>
      <c r="AB283" s="65">
        <f>($K283*$D283)/$L283</f>
        <v>0</v>
      </c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</row>
    <row r="284" spans="1:48" ht="16" x14ac:dyDescent="0.35">
      <c r="A284" s="108" t="s">
        <v>84</v>
      </c>
      <c r="B284" s="72" t="s">
        <v>129</v>
      </c>
      <c r="C284" s="71" t="s">
        <v>507</v>
      </c>
      <c r="D284" s="83"/>
      <c r="E284" s="72" t="s">
        <v>98</v>
      </c>
      <c r="F284" s="70" t="s">
        <v>85</v>
      </c>
      <c r="G284" s="70" t="s">
        <v>8</v>
      </c>
      <c r="H284" s="70" t="s">
        <v>73</v>
      </c>
      <c r="I284" s="70" t="s">
        <v>149</v>
      </c>
      <c r="J284" s="5">
        <v>2026</v>
      </c>
      <c r="K284" s="67">
        <v>340</v>
      </c>
      <c r="L284" s="68">
        <v>1</v>
      </c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5"/>
      <c r="Y284" s="65"/>
      <c r="Z284" s="65"/>
      <c r="AA284" s="65"/>
      <c r="AB284" s="65"/>
      <c r="AC284" s="65">
        <f>($K284*$D284)/$L284</f>
        <v>0</v>
      </c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</row>
    <row r="285" spans="1:48" ht="16" x14ac:dyDescent="0.35">
      <c r="A285" s="108" t="s">
        <v>84</v>
      </c>
      <c r="B285" s="72" t="s">
        <v>129</v>
      </c>
      <c r="C285" s="71" t="s">
        <v>509</v>
      </c>
      <c r="D285" s="83"/>
      <c r="E285" s="72" t="s">
        <v>98</v>
      </c>
      <c r="F285" s="70" t="s">
        <v>85</v>
      </c>
      <c r="G285" s="70" t="s">
        <v>8</v>
      </c>
      <c r="H285" s="70" t="s">
        <v>73</v>
      </c>
      <c r="I285" s="70" t="s">
        <v>149</v>
      </c>
      <c r="J285" s="5">
        <v>2026</v>
      </c>
      <c r="K285" s="67">
        <v>340</v>
      </c>
      <c r="L285" s="68">
        <v>1</v>
      </c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5"/>
      <c r="Y285" s="65"/>
      <c r="Z285" s="65"/>
      <c r="AA285" s="65"/>
      <c r="AB285" s="65"/>
      <c r="AC285" s="65"/>
      <c r="AD285" s="65">
        <f>($K285*$D285)/$L285</f>
        <v>0</v>
      </c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</row>
    <row r="286" spans="1:48" ht="16" x14ac:dyDescent="0.35">
      <c r="A286" s="108" t="s">
        <v>84</v>
      </c>
      <c r="B286" s="72" t="s">
        <v>129</v>
      </c>
      <c r="C286" s="71" t="s">
        <v>491</v>
      </c>
      <c r="D286" s="83"/>
      <c r="E286" s="72" t="s">
        <v>98</v>
      </c>
      <c r="F286" s="70" t="s">
        <v>85</v>
      </c>
      <c r="G286" s="70" t="s">
        <v>8</v>
      </c>
      <c r="H286" s="70" t="s">
        <v>73</v>
      </c>
      <c r="I286" s="70" t="s">
        <v>149</v>
      </c>
      <c r="J286" s="5">
        <v>2026</v>
      </c>
      <c r="K286" s="67">
        <v>340</v>
      </c>
      <c r="L286" s="68">
        <v>1</v>
      </c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5"/>
      <c r="Y286" s="65"/>
      <c r="Z286" s="65"/>
      <c r="AA286" s="65"/>
      <c r="AB286" s="65"/>
      <c r="AC286" s="65"/>
      <c r="AD286" s="65"/>
      <c r="AE286" s="65">
        <f>($K286*$D286)/$L286</f>
        <v>0</v>
      </c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</row>
    <row r="287" spans="1:48" ht="16" x14ac:dyDescent="0.35">
      <c r="A287" s="108" t="s">
        <v>84</v>
      </c>
      <c r="B287" s="72" t="s">
        <v>129</v>
      </c>
      <c r="C287" s="71" t="s">
        <v>510</v>
      </c>
      <c r="D287" s="83"/>
      <c r="E287" s="72" t="s">
        <v>98</v>
      </c>
      <c r="F287" s="70" t="s">
        <v>85</v>
      </c>
      <c r="G287" s="70" t="s">
        <v>8</v>
      </c>
      <c r="H287" s="70" t="s">
        <v>73</v>
      </c>
      <c r="I287" s="70" t="s">
        <v>149</v>
      </c>
      <c r="J287" s="5">
        <v>2026</v>
      </c>
      <c r="K287" s="67">
        <v>340</v>
      </c>
      <c r="L287" s="68">
        <v>1</v>
      </c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5"/>
      <c r="Y287" s="65"/>
      <c r="Z287" s="65"/>
      <c r="AA287" s="65"/>
      <c r="AB287" s="65"/>
      <c r="AC287" s="65"/>
      <c r="AD287" s="65"/>
      <c r="AE287" s="65"/>
      <c r="AF287" s="65">
        <f>($K287*$D287)/$L287</f>
        <v>0</v>
      </c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</row>
    <row r="288" spans="1:48" ht="16" x14ac:dyDescent="0.35">
      <c r="A288" s="108" t="s">
        <v>84</v>
      </c>
      <c r="B288" s="72" t="s">
        <v>129</v>
      </c>
      <c r="C288" s="71" t="s">
        <v>511</v>
      </c>
      <c r="D288" s="83"/>
      <c r="E288" s="72" t="s">
        <v>98</v>
      </c>
      <c r="F288" s="70" t="s">
        <v>85</v>
      </c>
      <c r="G288" s="70" t="s">
        <v>8</v>
      </c>
      <c r="H288" s="70" t="s">
        <v>73</v>
      </c>
      <c r="I288" s="70" t="s">
        <v>149</v>
      </c>
      <c r="J288" s="5">
        <v>2026</v>
      </c>
      <c r="K288" s="67">
        <v>340</v>
      </c>
      <c r="L288" s="68">
        <v>1</v>
      </c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5"/>
      <c r="Y288" s="65"/>
      <c r="Z288" s="65"/>
      <c r="AA288" s="65"/>
      <c r="AB288" s="65"/>
      <c r="AC288" s="65"/>
      <c r="AD288" s="65"/>
      <c r="AE288" s="65"/>
      <c r="AF288" s="65"/>
      <c r="AG288" s="65">
        <f>($K288*$D288)/$L288</f>
        <v>0</v>
      </c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</row>
    <row r="289" spans="1:48" ht="16" x14ac:dyDescent="0.35">
      <c r="A289" s="108" t="s">
        <v>84</v>
      </c>
      <c r="B289" s="72" t="s">
        <v>129</v>
      </c>
      <c r="C289" s="71" t="s">
        <v>492</v>
      </c>
      <c r="D289" s="83"/>
      <c r="E289" s="72" t="s">
        <v>98</v>
      </c>
      <c r="F289" s="70" t="s">
        <v>85</v>
      </c>
      <c r="G289" s="70" t="s">
        <v>8</v>
      </c>
      <c r="H289" s="70" t="s">
        <v>73</v>
      </c>
      <c r="I289" s="70" t="s">
        <v>149</v>
      </c>
      <c r="J289" s="5">
        <v>2026</v>
      </c>
      <c r="K289" s="67">
        <v>340</v>
      </c>
      <c r="L289" s="68">
        <v>1</v>
      </c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>
        <f>($K289*$D289)/$L289</f>
        <v>0</v>
      </c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</row>
    <row r="290" spans="1:48" ht="16" x14ac:dyDescent="0.35">
      <c r="A290" s="108" t="s">
        <v>84</v>
      </c>
      <c r="B290" s="72" t="s">
        <v>129</v>
      </c>
      <c r="C290" s="71" t="s">
        <v>512</v>
      </c>
      <c r="D290" s="83"/>
      <c r="E290" s="72" t="s">
        <v>98</v>
      </c>
      <c r="F290" s="70" t="s">
        <v>85</v>
      </c>
      <c r="G290" s="70" t="s">
        <v>8</v>
      </c>
      <c r="H290" s="70" t="s">
        <v>73</v>
      </c>
      <c r="I290" s="70" t="s">
        <v>149</v>
      </c>
      <c r="J290" s="5">
        <v>2026</v>
      </c>
      <c r="K290" s="67">
        <v>340</v>
      </c>
      <c r="L290" s="68">
        <v>1</v>
      </c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>
        <f>($K290*$D290)/$L290</f>
        <v>0</v>
      </c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</row>
    <row r="291" spans="1:48" ht="16" x14ac:dyDescent="0.35">
      <c r="A291" s="108" t="s">
        <v>84</v>
      </c>
      <c r="B291" s="72" t="s">
        <v>129</v>
      </c>
      <c r="C291" s="71" t="s">
        <v>493</v>
      </c>
      <c r="D291" s="83"/>
      <c r="E291" s="72" t="s">
        <v>98</v>
      </c>
      <c r="F291" s="70" t="s">
        <v>85</v>
      </c>
      <c r="G291" s="70" t="s">
        <v>8</v>
      </c>
      <c r="H291" s="70" t="s">
        <v>73</v>
      </c>
      <c r="I291" s="70" t="s">
        <v>149</v>
      </c>
      <c r="J291" s="5">
        <v>2026</v>
      </c>
      <c r="K291" s="67">
        <v>340</v>
      </c>
      <c r="L291" s="68">
        <v>1</v>
      </c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>
        <f>($K291*$D291)/$L291</f>
        <v>0</v>
      </c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</row>
    <row r="292" spans="1:48" ht="16" x14ac:dyDescent="0.35">
      <c r="A292" s="108" t="s">
        <v>84</v>
      </c>
      <c r="B292" s="72" t="s">
        <v>129</v>
      </c>
      <c r="C292" s="71" t="s">
        <v>494</v>
      </c>
      <c r="D292" s="83"/>
      <c r="E292" s="72" t="s">
        <v>98</v>
      </c>
      <c r="F292" s="70" t="s">
        <v>85</v>
      </c>
      <c r="G292" s="70" t="s">
        <v>8</v>
      </c>
      <c r="H292" s="70" t="s">
        <v>73</v>
      </c>
      <c r="I292" s="70" t="s">
        <v>149</v>
      </c>
      <c r="J292" s="5">
        <v>2026</v>
      </c>
      <c r="K292" s="67">
        <v>20</v>
      </c>
      <c r="L292" s="68">
        <v>1</v>
      </c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5"/>
      <c r="Y292" s="65"/>
      <c r="Z292" s="65"/>
      <c r="AA292" s="65"/>
      <c r="AB292" s="65">
        <f>($K292*$D292)/$L292</f>
        <v>0</v>
      </c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</row>
    <row r="293" spans="1:48" ht="16" x14ac:dyDescent="0.35">
      <c r="A293" s="108" t="s">
        <v>84</v>
      </c>
      <c r="B293" s="72" t="s">
        <v>129</v>
      </c>
      <c r="C293" s="71" t="s">
        <v>495</v>
      </c>
      <c r="D293" s="83"/>
      <c r="E293" s="72" t="s">
        <v>98</v>
      </c>
      <c r="F293" s="70" t="s">
        <v>85</v>
      </c>
      <c r="G293" s="70" t="s">
        <v>8</v>
      </c>
      <c r="H293" s="70" t="s">
        <v>73</v>
      </c>
      <c r="I293" s="70" t="s">
        <v>149</v>
      </c>
      <c r="J293" s="5">
        <v>2026</v>
      </c>
      <c r="K293" s="67">
        <v>20</v>
      </c>
      <c r="L293" s="68">
        <v>1</v>
      </c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5"/>
      <c r="Y293" s="65"/>
      <c r="Z293" s="65"/>
      <c r="AA293" s="65"/>
      <c r="AB293" s="65"/>
      <c r="AC293" s="65">
        <f>($K293*$D293)/$L293</f>
        <v>0</v>
      </c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</row>
    <row r="294" spans="1:48" ht="16" x14ac:dyDescent="0.35">
      <c r="A294" s="108" t="s">
        <v>84</v>
      </c>
      <c r="B294" s="72" t="s">
        <v>129</v>
      </c>
      <c r="C294" s="71" t="s">
        <v>496</v>
      </c>
      <c r="D294" s="83"/>
      <c r="E294" s="72" t="s">
        <v>98</v>
      </c>
      <c r="F294" s="70" t="s">
        <v>85</v>
      </c>
      <c r="G294" s="70" t="s">
        <v>8</v>
      </c>
      <c r="H294" s="70" t="s">
        <v>73</v>
      </c>
      <c r="I294" s="70" t="s">
        <v>149</v>
      </c>
      <c r="J294" s="5">
        <v>2026</v>
      </c>
      <c r="K294" s="67">
        <v>20</v>
      </c>
      <c r="L294" s="68">
        <v>1</v>
      </c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5"/>
      <c r="Y294" s="65"/>
      <c r="Z294" s="65"/>
      <c r="AA294" s="65"/>
      <c r="AB294" s="65"/>
      <c r="AC294" s="65"/>
      <c r="AD294" s="65">
        <f>($K294*$D294)/$L294</f>
        <v>0</v>
      </c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</row>
    <row r="295" spans="1:48" ht="16" x14ac:dyDescent="0.35">
      <c r="A295" s="108" t="s">
        <v>84</v>
      </c>
      <c r="B295" s="72" t="s">
        <v>129</v>
      </c>
      <c r="C295" s="71" t="s">
        <v>497</v>
      </c>
      <c r="D295" s="83"/>
      <c r="E295" s="72" t="s">
        <v>98</v>
      </c>
      <c r="F295" s="70" t="s">
        <v>85</v>
      </c>
      <c r="G295" s="70" t="s">
        <v>8</v>
      </c>
      <c r="H295" s="70" t="s">
        <v>73</v>
      </c>
      <c r="I295" s="70" t="s">
        <v>149</v>
      </c>
      <c r="J295" s="5">
        <v>2026</v>
      </c>
      <c r="K295" s="67">
        <v>20</v>
      </c>
      <c r="L295" s="68">
        <v>1</v>
      </c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5"/>
      <c r="Y295" s="65"/>
      <c r="Z295" s="65"/>
      <c r="AA295" s="65"/>
      <c r="AB295" s="65"/>
      <c r="AC295" s="65"/>
      <c r="AD295" s="65"/>
      <c r="AE295" s="65">
        <f>($K295*$D295)/$L295</f>
        <v>0</v>
      </c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</row>
    <row r="296" spans="1:48" ht="16" x14ac:dyDescent="0.35">
      <c r="A296" s="108" t="s">
        <v>84</v>
      </c>
      <c r="B296" s="72" t="s">
        <v>129</v>
      </c>
      <c r="C296" s="71" t="s">
        <v>498</v>
      </c>
      <c r="D296" s="83"/>
      <c r="E296" s="72" t="s">
        <v>98</v>
      </c>
      <c r="F296" s="70" t="s">
        <v>85</v>
      </c>
      <c r="G296" s="70" t="s">
        <v>8</v>
      </c>
      <c r="H296" s="70" t="s">
        <v>73</v>
      </c>
      <c r="I296" s="70" t="s">
        <v>149</v>
      </c>
      <c r="J296" s="5">
        <v>2026</v>
      </c>
      <c r="K296" s="67">
        <v>20</v>
      </c>
      <c r="L296" s="68">
        <v>1</v>
      </c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5"/>
      <c r="Y296" s="65"/>
      <c r="Z296" s="65"/>
      <c r="AA296" s="65"/>
      <c r="AB296" s="65"/>
      <c r="AC296" s="65"/>
      <c r="AD296" s="65"/>
      <c r="AE296" s="65"/>
      <c r="AF296" s="65">
        <f>($K296*$D296)/$L296</f>
        <v>0</v>
      </c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</row>
    <row r="297" spans="1:48" ht="16" x14ac:dyDescent="0.35">
      <c r="A297" s="108" t="s">
        <v>84</v>
      </c>
      <c r="B297" s="72" t="s">
        <v>129</v>
      </c>
      <c r="C297" s="71" t="s">
        <v>499</v>
      </c>
      <c r="D297" s="83"/>
      <c r="E297" s="72" t="s">
        <v>98</v>
      </c>
      <c r="F297" s="70" t="s">
        <v>85</v>
      </c>
      <c r="G297" s="70" t="s">
        <v>8</v>
      </c>
      <c r="H297" s="70" t="s">
        <v>73</v>
      </c>
      <c r="I297" s="70" t="s">
        <v>149</v>
      </c>
      <c r="J297" s="5">
        <v>2026</v>
      </c>
      <c r="K297" s="67">
        <v>20</v>
      </c>
      <c r="L297" s="68">
        <v>1</v>
      </c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5"/>
      <c r="Y297" s="65"/>
      <c r="Z297" s="65"/>
      <c r="AA297" s="65"/>
      <c r="AB297" s="65"/>
      <c r="AC297" s="65"/>
      <c r="AD297" s="65"/>
      <c r="AE297" s="65"/>
      <c r="AF297" s="65"/>
      <c r="AG297" s="65">
        <f>($K297*$D297)/$L297</f>
        <v>0</v>
      </c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</row>
    <row r="298" spans="1:48" ht="16" x14ac:dyDescent="0.35">
      <c r="A298" s="108" t="s">
        <v>84</v>
      </c>
      <c r="B298" s="72" t="s">
        <v>129</v>
      </c>
      <c r="C298" s="71" t="s">
        <v>500</v>
      </c>
      <c r="D298" s="83"/>
      <c r="E298" s="72" t="s">
        <v>98</v>
      </c>
      <c r="F298" s="70" t="s">
        <v>85</v>
      </c>
      <c r="G298" s="70" t="s">
        <v>8</v>
      </c>
      <c r="H298" s="70" t="s">
        <v>73</v>
      </c>
      <c r="I298" s="70" t="s">
        <v>149</v>
      </c>
      <c r="J298" s="5">
        <v>2026</v>
      </c>
      <c r="K298" s="67">
        <v>20</v>
      </c>
      <c r="L298" s="68">
        <v>1</v>
      </c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>
        <f>($K298*$D298)/$L298</f>
        <v>0</v>
      </c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</row>
    <row r="299" spans="1:48" ht="16" x14ac:dyDescent="0.35">
      <c r="A299" s="108" t="s">
        <v>84</v>
      </c>
      <c r="B299" s="72" t="s">
        <v>129</v>
      </c>
      <c r="C299" s="71" t="s">
        <v>501</v>
      </c>
      <c r="D299" s="83"/>
      <c r="E299" s="72" t="s">
        <v>98</v>
      </c>
      <c r="F299" s="70" t="s">
        <v>85</v>
      </c>
      <c r="G299" s="70" t="s">
        <v>8</v>
      </c>
      <c r="H299" s="70" t="s">
        <v>73</v>
      </c>
      <c r="I299" s="70" t="s">
        <v>149</v>
      </c>
      <c r="J299" s="5">
        <v>2026</v>
      </c>
      <c r="K299" s="67">
        <v>20</v>
      </c>
      <c r="L299" s="68">
        <v>1</v>
      </c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>
        <f>($K299*$D299)/$L299</f>
        <v>0</v>
      </c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</row>
    <row r="300" spans="1:48" ht="16" x14ac:dyDescent="0.35">
      <c r="A300" s="108" t="s">
        <v>84</v>
      </c>
      <c r="B300" s="72" t="s">
        <v>129</v>
      </c>
      <c r="C300" s="71" t="s">
        <v>502</v>
      </c>
      <c r="D300" s="83"/>
      <c r="E300" s="72" t="s">
        <v>98</v>
      </c>
      <c r="F300" s="70" t="s">
        <v>85</v>
      </c>
      <c r="G300" s="70" t="s">
        <v>8</v>
      </c>
      <c r="H300" s="70" t="s">
        <v>73</v>
      </c>
      <c r="I300" s="70" t="s">
        <v>149</v>
      </c>
      <c r="J300" s="5">
        <v>2026</v>
      </c>
      <c r="K300" s="67">
        <v>20</v>
      </c>
      <c r="L300" s="68">
        <v>1</v>
      </c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>
        <f>($K300*$D300)/$L300</f>
        <v>0</v>
      </c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</row>
    <row r="301" spans="1:48" ht="16" x14ac:dyDescent="0.35">
      <c r="A301" s="108" t="s">
        <v>84</v>
      </c>
      <c r="B301" s="72" t="s">
        <v>129</v>
      </c>
      <c r="C301" s="71" t="s">
        <v>288</v>
      </c>
      <c r="D301" s="83"/>
      <c r="E301" s="72" t="s">
        <v>98</v>
      </c>
      <c r="F301" s="70" t="s">
        <v>85</v>
      </c>
      <c r="G301" s="70" t="s">
        <v>8</v>
      </c>
      <c r="H301" s="70" t="s">
        <v>73</v>
      </c>
      <c r="I301" s="70" t="s">
        <v>149</v>
      </c>
      <c r="J301" s="5">
        <v>2026</v>
      </c>
      <c r="K301" s="67">
        <v>50</v>
      </c>
      <c r="L301" s="68">
        <v>1</v>
      </c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5"/>
      <c r="Y301" s="65"/>
      <c r="Z301" s="65">
        <f>($K301*$D301)/$L301</f>
        <v>0</v>
      </c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</row>
    <row r="302" spans="1:48" ht="16" x14ac:dyDescent="0.35">
      <c r="A302" s="108" t="s">
        <v>84</v>
      </c>
      <c r="B302" s="72" t="s">
        <v>129</v>
      </c>
      <c r="C302" s="71" t="s">
        <v>289</v>
      </c>
      <c r="D302" s="83"/>
      <c r="E302" s="72" t="s">
        <v>98</v>
      </c>
      <c r="F302" s="70" t="s">
        <v>85</v>
      </c>
      <c r="G302" s="70" t="s">
        <v>8</v>
      </c>
      <c r="H302" s="70" t="s">
        <v>73</v>
      </c>
      <c r="I302" s="70" t="s">
        <v>149</v>
      </c>
      <c r="J302" s="5">
        <v>2026</v>
      </c>
      <c r="K302" s="67">
        <v>50</v>
      </c>
      <c r="L302" s="68">
        <v>1</v>
      </c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5"/>
      <c r="Y302" s="65"/>
      <c r="Z302" s="65">
        <f>($K302*$D302)/$L302</f>
        <v>0</v>
      </c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</row>
    <row r="303" spans="1:48" ht="16" x14ac:dyDescent="0.35">
      <c r="A303" s="108" t="s">
        <v>84</v>
      </c>
      <c r="B303" s="72" t="s">
        <v>129</v>
      </c>
      <c r="C303" s="71" t="s">
        <v>290</v>
      </c>
      <c r="D303" s="83"/>
      <c r="E303" s="72" t="s">
        <v>98</v>
      </c>
      <c r="F303" s="70" t="s">
        <v>85</v>
      </c>
      <c r="G303" s="70" t="s">
        <v>8</v>
      </c>
      <c r="H303" s="70" t="s">
        <v>73</v>
      </c>
      <c r="I303" s="70" t="s">
        <v>149</v>
      </c>
      <c r="J303" s="5">
        <v>2026</v>
      </c>
      <c r="K303" s="67">
        <v>50</v>
      </c>
      <c r="L303" s="68">
        <v>1</v>
      </c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5"/>
      <c r="Y303" s="65"/>
      <c r="Z303" s="65"/>
      <c r="AA303" s="65">
        <f>($K303*$D303)/$L303</f>
        <v>0</v>
      </c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</row>
    <row r="304" spans="1:48" ht="16" x14ac:dyDescent="0.35">
      <c r="A304" s="108" t="s">
        <v>84</v>
      </c>
      <c r="B304" s="72" t="s">
        <v>129</v>
      </c>
      <c r="C304" s="71" t="s">
        <v>291</v>
      </c>
      <c r="D304" s="83"/>
      <c r="E304" s="72" t="s">
        <v>98</v>
      </c>
      <c r="F304" s="70" t="s">
        <v>85</v>
      </c>
      <c r="G304" s="70" t="s">
        <v>8</v>
      </c>
      <c r="H304" s="70" t="s">
        <v>73</v>
      </c>
      <c r="I304" s="70" t="s">
        <v>149</v>
      </c>
      <c r="J304" s="5">
        <v>2026</v>
      </c>
      <c r="K304" s="67">
        <v>50</v>
      </c>
      <c r="L304" s="68">
        <v>1</v>
      </c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5"/>
      <c r="Y304" s="65"/>
      <c r="Z304" s="65"/>
      <c r="AA304" s="65"/>
      <c r="AB304" s="65">
        <f>($K304*$D304)/$L304</f>
        <v>0</v>
      </c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</row>
    <row r="305" spans="1:48" ht="16" x14ac:dyDescent="0.35">
      <c r="A305" s="108" t="s">
        <v>84</v>
      </c>
      <c r="B305" s="72" t="s">
        <v>129</v>
      </c>
      <c r="C305" s="71" t="s">
        <v>292</v>
      </c>
      <c r="D305" s="83"/>
      <c r="E305" s="72" t="s">
        <v>98</v>
      </c>
      <c r="F305" s="70" t="s">
        <v>85</v>
      </c>
      <c r="G305" s="70" t="s">
        <v>8</v>
      </c>
      <c r="H305" s="70" t="s">
        <v>73</v>
      </c>
      <c r="I305" s="70" t="s">
        <v>149</v>
      </c>
      <c r="J305" s="5">
        <v>2026</v>
      </c>
      <c r="K305" s="67">
        <v>50</v>
      </c>
      <c r="L305" s="68">
        <v>1</v>
      </c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5"/>
      <c r="Y305" s="65"/>
      <c r="Z305" s="65"/>
      <c r="AA305" s="65"/>
      <c r="AB305" s="65"/>
      <c r="AC305" s="65">
        <f>($K305*$D305)/$L305</f>
        <v>0</v>
      </c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</row>
    <row r="306" spans="1:48" ht="16" x14ac:dyDescent="0.35">
      <c r="A306" s="108" t="s">
        <v>84</v>
      </c>
      <c r="B306" s="72" t="s">
        <v>129</v>
      </c>
      <c r="C306" s="71" t="s">
        <v>293</v>
      </c>
      <c r="D306" s="83"/>
      <c r="E306" s="72" t="s">
        <v>98</v>
      </c>
      <c r="F306" s="70" t="s">
        <v>85</v>
      </c>
      <c r="G306" s="70" t="s">
        <v>8</v>
      </c>
      <c r="H306" s="70" t="s">
        <v>73</v>
      </c>
      <c r="I306" s="70" t="s">
        <v>149</v>
      </c>
      <c r="J306" s="5">
        <v>2026</v>
      </c>
      <c r="K306" s="67">
        <v>50</v>
      </c>
      <c r="L306" s="68">
        <v>1</v>
      </c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5"/>
      <c r="Y306" s="65"/>
      <c r="Z306" s="65"/>
      <c r="AA306" s="65"/>
      <c r="AB306" s="65"/>
      <c r="AC306" s="65"/>
      <c r="AD306" s="65">
        <f>($K306*$D306)/$L306</f>
        <v>0</v>
      </c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</row>
    <row r="307" spans="1:48" ht="16" x14ac:dyDescent="0.35">
      <c r="A307" s="108" t="s">
        <v>84</v>
      </c>
      <c r="B307" s="72" t="s">
        <v>129</v>
      </c>
      <c r="C307" s="71" t="s">
        <v>294</v>
      </c>
      <c r="D307" s="83"/>
      <c r="E307" s="72" t="s">
        <v>98</v>
      </c>
      <c r="F307" s="70" t="s">
        <v>85</v>
      </c>
      <c r="G307" s="70" t="s">
        <v>8</v>
      </c>
      <c r="H307" s="70" t="s">
        <v>73</v>
      </c>
      <c r="I307" s="70" t="s">
        <v>149</v>
      </c>
      <c r="J307" s="5">
        <v>2026</v>
      </c>
      <c r="K307" s="67">
        <v>50</v>
      </c>
      <c r="L307" s="68">
        <v>1</v>
      </c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5"/>
      <c r="Y307" s="65"/>
      <c r="Z307" s="65"/>
      <c r="AA307" s="65"/>
      <c r="AB307" s="65"/>
      <c r="AC307" s="65"/>
      <c r="AD307" s="65"/>
      <c r="AE307" s="65">
        <f>($K307*$D307)/$L307</f>
        <v>0</v>
      </c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</row>
    <row r="308" spans="1:48" ht="16" x14ac:dyDescent="0.35">
      <c r="A308" s="108" t="s">
        <v>84</v>
      </c>
      <c r="B308" s="72" t="s">
        <v>129</v>
      </c>
      <c r="C308" s="71" t="s">
        <v>295</v>
      </c>
      <c r="D308" s="83"/>
      <c r="E308" s="72" t="s">
        <v>98</v>
      </c>
      <c r="F308" s="70" t="s">
        <v>85</v>
      </c>
      <c r="G308" s="70" t="s">
        <v>8</v>
      </c>
      <c r="H308" s="70" t="s">
        <v>73</v>
      </c>
      <c r="I308" s="70" t="s">
        <v>149</v>
      </c>
      <c r="J308" s="5">
        <v>2026</v>
      </c>
      <c r="K308" s="67">
        <v>50</v>
      </c>
      <c r="L308" s="68">
        <v>1</v>
      </c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5"/>
      <c r="Y308" s="65"/>
      <c r="Z308" s="65"/>
      <c r="AA308" s="65"/>
      <c r="AB308" s="65"/>
      <c r="AC308" s="65"/>
      <c r="AD308" s="65"/>
      <c r="AE308" s="65"/>
      <c r="AF308" s="65">
        <f>($K308*$D308)/$L308</f>
        <v>0</v>
      </c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</row>
    <row r="309" spans="1:48" ht="16" x14ac:dyDescent="0.35">
      <c r="A309" s="108" t="s">
        <v>84</v>
      </c>
      <c r="B309" s="72" t="s">
        <v>129</v>
      </c>
      <c r="C309" s="71" t="s">
        <v>296</v>
      </c>
      <c r="D309" s="83"/>
      <c r="E309" s="72" t="s">
        <v>98</v>
      </c>
      <c r="F309" s="70" t="s">
        <v>85</v>
      </c>
      <c r="G309" s="70" t="s">
        <v>8</v>
      </c>
      <c r="H309" s="70" t="s">
        <v>73</v>
      </c>
      <c r="I309" s="70" t="s">
        <v>149</v>
      </c>
      <c r="J309" s="5">
        <v>2026</v>
      </c>
      <c r="K309" s="67">
        <v>50</v>
      </c>
      <c r="L309" s="68">
        <v>1</v>
      </c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5"/>
      <c r="Y309" s="65"/>
      <c r="Z309" s="65"/>
      <c r="AA309" s="65"/>
      <c r="AB309" s="65"/>
      <c r="AC309" s="65"/>
      <c r="AD309" s="65"/>
      <c r="AE309" s="65"/>
      <c r="AF309" s="65"/>
      <c r="AG309" s="65">
        <f>($K309*$D309)/$L309</f>
        <v>0</v>
      </c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</row>
    <row r="310" spans="1:48" ht="16" x14ac:dyDescent="0.35">
      <c r="A310" s="108" t="s">
        <v>84</v>
      </c>
      <c r="B310" s="72" t="s">
        <v>129</v>
      </c>
      <c r="C310" s="71" t="s">
        <v>297</v>
      </c>
      <c r="D310" s="83"/>
      <c r="E310" s="72" t="s">
        <v>98</v>
      </c>
      <c r="F310" s="70" t="s">
        <v>85</v>
      </c>
      <c r="G310" s="70" t="s">
        <v>8</v>
      </c>
      <c r="H310" s="70" t="s">
        <v>73</v>
      </c>
      <c r="I310" s="70" t="s">
        <v>149</v>
      </c>
      <c r="J310" s="5">
        <v>2026</v>
      </c>
      <c r="K310" s="67">
        <v>50</v>
      </c>
      <c r="L310" s="68">
        <v>1</v>
      </c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>
        <f>($K310*$D310)/$L310</f>
        <v>0</v>
      </c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</row>
    <row r="311" spans="1:48" ht="16" x14ac:dyDescent="0.35">
      <c r="A311" s="108" t="s">
        <v>84</v>
      </c>
      <c r="B311" s="72" t="s">
        <v>129</v>
      </c>
      <c r="C311" s="71" t="s">
        <v>298</v>
      </c>
      <c r="D311" s="83"/>
      <c r="E311" s="72" t="s">
        <v>98</v>
      </c>
      <c r="F311" s="70" t="s">
        <v>85</v>
      </c>
      <c r="G311" s="70" t="s">
        <v>8</v>
      </c>
      <c r="H311" s="70" t="s">
        <v>73</v>
      </c>
      <c r="I311" s="70" t="s">
        <v>149</v>
      </c>
      <c r="J311" s="5">
        <v>2026</v>
      </c>
      <c r="K311" s="67">
        <v>50</v>
      </c>
      <c r="L311" s="68">
        <v>1</v>
      </c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>
        <f>($K311*$D311)/$L311</f>
        <v>0</v>
      </c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</row>
    <row r="312" spans="1:48" ht="16" x14ac:dyDescent="0.35">
      <c r="A312" s="108" t="s">
        <v>84</v>
      </c>
      <c r="B312" s="72" t="s">
        <v>129</v>
      </c>
      <c r="C312" s="71" t="s">
        <v>299</v>
      </c>
      <c r="D312" s="83"/>
      <c r="E312" s="72" t="s">
        <v>98</v>
      </c>
      <c r="F312" s="70" t="s">
        <v>85</v>
      </c>
      <c r="G312" s="70" t="s">
        <v>8</v>
      </c>
      <c r="H312" s="70" t="s">
        <v>73</v>
      </c>
      <c r="I312" s="70" t="s">
        <v>149</v>
      </c>
      <c r="J312" s="5">
        <v>2026</v>
      </c>
      <c r="K312" s="67">
        <v>50</v>
      </c>
      <c r="L312" s="68">
        <v>1</v>
      </c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>
        <f>($K312*$D312)/$L312</f>
        <v>0</v>
      </c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</row>
    <row r="313" spans="1:48" ht="16" x14ac:dyDescent="0.35">
      <c r="A313" s="108" t="s">
        <v>84</v>
      </c>
      <c r="B313" s="72" t="s">
        <v>129</v>
      </c>
      <c r="C313" s="71" t="s">
        <v>300</v>
      </c>
      <c r="D313" s="83"/>
      <c r="E313" s="72" t="s">
        <v>98</v>
      </c>
      <c r="F313" s="70" t="s">
        <v>85</v>
      </c>
      <c r="G313" s="70" t="s">
        <v>8</v>
      </c>
      <c r="H313" s="70" t="s">
        <v>73</v>
      </c>
      <c r="I313" s="70" t="s">
        <v>149</v>
      </c>
      <c r="J313" s="5">
        <v>2026</v>
      </c>
      <c r="K313" s="67">
        <v>340</v>
      </c>
      <c r="L313" s="68">
        <v>1</v>
      </c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5"/>
      <c r="Y313" s="65"/>
      <c r="Z313" s="65">
        <f>($K313*$D313)/$L313</f>
        <v>0</v>
      </c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</row>
    <row r="314" spans="1:48" ht="16" x14ac:dyDescent="0.35">
      <c r="A314" s="108" t="s">
        <v>84</v>
      </c>
      <c r="B314" s="72" t="s">
        <v>129</v>
      </c>
      <c r="C314" s="71" t="s">
        <v>301</v>
      </c>
      <c r="D314" s="83"/>
      <c r="E314" s="72" t="s">
        <v>98</v>
      </c>
      <c r="F314" s="70" t="s">
        <v>85</v>
      </c>
      <c r="G314" s="70" t="s">
        <v>8</v>
      </c>
      <c r="H314" s="70" t="s">
        <v>73</v>
      </c>
      <c r="I314" s="70" t="s">
        <v>149</v>
      </c>
      <c r="J314" s="5">
        <v>2026</v>
      </c>
      <c r="K314" s="67">
        <v>340</v>
      </c>
      <c r="L314" s="68">
        <v>1</v>
      </c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5"/>
      <c r="Y314" s="65"/>
      <c r="Z314" s="65">
        <f>($K314*$D314)/$L314</f>
        <v>0</v>
      </c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</row>
    <row r="315" spans="1:48" ht="16" x14ac:dyDescent="0.35">
      <c r="A315" s="108" t="s">
        <v>84</v>
      </c>
      <c r="B315" s="72" t="s">
        <v>129</v>
      </c>
      <c r="C315" s="71" t="s">
        <v>302</v>
      </c>
      <c r="D315" s="83"/>
      <c r="E315" s="72" t="s">
        <v>98</v>
      </c>
      <c r="F315" s="70" t="s">
        <v>85</v>
      </c>
      <c r="G315" s="70" t="s">
        <v>8</v>
      </c>
      <c r="H315" s="70" t="s">
        <v>73</v>
      </c>
      <c r="I315" s="70" t="s">
        <v>149</v>
      </c>
      <c r="J315" s="5">
        <v>2026</v>
      </c>
      <c r="K315" s="67">
        <v>340</v>
      </c>
      <c r="L315" s="68">
        <v>1</v>
      </c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5"/>
      <c r="Y315" s="65"/>
      <c r="Z315" s="65"/>
      <c r="AA315" s="65">
        <f>($K315*$D315)/$L315</f>
        <v>0</v>
      </c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</row>
    <row r="316" spans="1:48" ht="16" x14ac:dyDescent="0.35">
      <c r="A316" s="108" t="s">
        <v>84</v>
      </c>
      <c r="B316" s="72" t="s">
        <v>129</v>
      </c>
      <c r="C316" s="71" t="s">
        <v>303</v>
      </c>
      <c r="D316" s="83"/>
      <c r="E316" s="72" t="s">
        <v>98</v>
      </c>
      <c r="F316" s="70" t="s">
        <v>85</v>
      </c>
      <c r="G316" s="70" t="s">
        <v>8</v>
      </c>
      <c r="H316" s="70" t="s">
        <v>73</v>
      </c>
      <c r="I316" s="70" t="s">
        <v>149</v>
      </c>
      <c r="J316" s="5">
        <v>2026</v>
      </c>
      <c r="K316" s="67">
        <v>340</v>
      </c>
      <c r="L316" s="68">
        <v>1</v>
      </c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5"/>
      <c r="Y316" s="65"/>
      <c r="Z316" s="65"/>
      <c r="AA316" s="65"/>
      <c r="AB316" s="65">
        <f>($K316*$D316)/$L316</f>
        <v>0</v>
      </c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</row>
    <row r="317" spans="1:48" ht="16" x14ac:dyDescent="0.35">
      <c r="A317" s="108" t="s">
        <v>84</v>
      </c>
      <c r="B317" s="72" t="s">
        <v>129</v>
      </c>
      <c r="C317" s="71" t="s">
        <v>304</v>
      </c>
      <c r="D317" s="83"/>
      <c r="E317" s="72" t="s">
        <v>98</v>
      </c>
      <c r="F317" s="70" t="s">
        <v>85</v>
      </c>
      <c r="G317" s="70" t="s">
        <v>8</v>
      </c>
      <c r="H317" s="70" t="s">
        <v>73</v>
      </c>
      <c r="I317" s="70" t="s">
        <v>149</v>
      </c>
      <c r="J317" s="5">
        <v>2026</v>
      </c>
      <c r="K317" s="67">
        <v>340</v>
      </c>
      <c r="L317" s="68">
        <v>1</v>
      </c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5"/>
      <c r="Y317" s="65"/>
      <c r="Z317" s="65"/>
      <c r="AA317" s="65"/>
      <c r="AB317" s="65"/>
      <c r="AC317" s="65">
        <f>($K317*$D317)/$L317</f>
        <v>0</v>
      </c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</row>
    <row r="318" spans="1:48" ht="16" x14ac:dyDescent="0.35">
      <c r="A318" s="108" t="s">
        <v>84</v>
      </c>
      <c r="B318" s="72" t="s">
        <v>129</v>
      </c>
      <c r="C318" s="71" t="s">
        <v>305</v>
      </c>
      <c r="D318" s="83"/>
      <c r="E318" s="72" t="s">
        <v>98</v>
      </c>
      <c r="F318" s="70" t="s">
        <v>85</v>
      </c>
      <c r="G318" s="70" t="s">
        <v>8</v>
      </c>
      <c r="H318" s="70" t="s">
        <v>73</v>
      </c>
      <c r="I318" s="70" t="s">
        <v>149</v>
      </c>
      <c r="J318" s="5">
        <v>2026</v>
      </c>
      <c r="K318" s="67">
        <v>340</v>
      </c>
      <c r="L318" s="68">
        <v>1</v>
      </c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5"/>
      <c r="Y318" s="65"/>
      <c r="Z318" s="65"/>
      <c r="AA318" s="65"/>
      <c r="AB318" s="65"/>
      <c r="AC318" s="65"/>
      <c r="AD318" s="65">
        <f>($K318*$D318)/$L318</f>
        <v>0</v>
      </c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</row>
    <row r="319" spans="1:48" ht="16" x14ac:dyDescent="0.35">
      <c r="A319" s="108" t="s">
        <v>84</v>
      </c>
      <c r="B319" s="72" t="s">
        <v>129</v>
      </c>
      <c r="C319" s="71" t="s">
        <v>306</v>
      </c>
      <c r="D319" s="83"/>
      <c r="E319" s="72" t="s">
        <v>98</v>
      </c>
      <c r="F319" s="70" t="s">
        <v>85</v>
      </c>
      <c r="G319" s="70" t="s">
        <v>8</v>
      </c>
      <c r="H319" s="70" t="s">
        <v>73</v>
      </c>
      <c r="I319" s="70" t="s">
        <v>149</v>
      </c>
      <c r="J319" s="5">
        <v>2026</v>
      </c>
      <c r="K319" s="67">
        <v>340</v>
      </c>
      <c r="L319" s="68">
        <v>1</v>
      </c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5"/>
      <c r="Y319" s="65"/>
      <c r="Z319" s="65"/>
      <c r="AA319" s="65"/>
      <c r="AB319" s="65"/>
      <c r="AC319" s="65"/>
      <c r="AD319" s="65"/>
      <c r="AE319" s="65">
        <f>($K319*$D319)/$L319</f>
        <v>0</v>
      </c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</row>
    <row r="320" spans="1:48" ht="16" x14ac:dyDescent="0.35">
      <c r="A320" s="108" t="s">
        <v>84</v>
      </c>
      <c r="B320" s="72" t="s">
        <v>129</v>
      </c>
      <c r="C320" s="71" t="s">
        <v>307</v>
      </c>
      <c r="D320" s="83"/>
      <c r="E320" s="72" t="s">
        <v>98</v>
      </c>
      <c r="F320" s="70" t="s">
        <v>85</v>
      </c>
      <c r="G320" s="70" t="s">
        <v>8</v>
      </c>
      <c r="H320" s="70" t="s">
        <v>73</v>
      </c>
      <c r="I320" s="70" t="s">
        <v>149</v>
      </c>
      <c r="J320" s="5">
        <v>2026</v>
      </c>
      <c r="K320" s="67">
        <v>340</v>
      </c>
      <c r="L320" s="68">
        <v>1</v>
      </c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5"/>
      <c r="Y320" s="65"/>
      <c r="Z320" s="65"/>
      <c r="AA320" s="65"/>
      <c r="AB320" s="65"/>
      <c r="AC320" s="65"/>
      <c r="AD320" s="65"/>
      <c r="AE320" s="65"/>
      <c r="AF320" s="65">
        <f>($K320*$D320)/$L320</f>
        <v>0</v>
      </c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</row>
    <row r="321" spans="1:48" ht="16" x14ac:dyDescent="0.35">
      <c r="A321" s="108" t="s">
        <v>84</v>
      </c>
      <c r="B321" s="72" t="s">
        <v>129</v>
      </c>
      <c r="C321" s="71" t="s">
        <v>308</v>
      </c>
      <c r="D321" s="83"/>
      <c r="E321" s="72" t="s">
        <v>98</v>
      </c>
      <c r="F321" s="70" t="s">
        <v>85</v>
      </c>
      <c r="G321" s="70" t="s">
        <v>8</v>
      </c>
      <c r="H321" s="70" t="s">
        <v>73</v>
      </c>
      <c r="I321" s="70" t="s">
        <v>149</v>
      </c>
      <c r="J321" s="5">
        <v>2026</v>
      </c>
      <c r="K321" s="67">
        <v>340</v>
      </c>
      <c r="L321" s="68">
        <v>1</v>
      </c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5"/>
      <c r="Y321" s="65"/>
      <c r="Z321" s="65"/>
      <c r="AA321" s="65"/>
      <c r="AB321" s="65"/>
      <c r="AC321" s="65"/>
      <c r="AD321" s="65"/>
      <c r="AE321" s="65"/>
      <c r="AF321" s="65"/>
      <c r="AG321" s="65">
        <f>($K321*$D321)/$L321</f>
        <v>0</v>
      </c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</row>
    <row r="322" spans="1:48" ht="16" x14ac:dyDescent="0.35">
      <c r="A322" s="108" t="s">
        <v>84</v>
      </c>
      <c r="B322" s="72" t="s">
        <v>129</v>
      </c>
      <c r="C322" s="71" t="s">
        <v>309</v>
      </c>
      <c r="D322" s="83"/>
      <c r="E322" s="72" t="s">
        <v>98</v>
      </c>
      <c r="F322" s="70" t="s">
        <v>85</v>
      </c>
      <c r="G322" s="70" t="s">
        <v>8</v>
      </c>
      <c r="H322" s="70" t="s">
        <v>73</v>
      </c>
      <c r="I322" s="70" t="s">
        <v>149</v>
      </c>
      <c r="J322" s="5">
        <v>2026</v>
      </c>
      <c r="K322" s="67">
        <v>340</v>
      </c>
      <c r="L322" s="68">
        <v>1</v>
      </c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>
        <f>($K322*$D322)/$L322</f>
        <v>0</v>
      </c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</row>
    <row r="323" spans="1:48" ht="16" x14ac:dyDescent="0.35">
      <c r="A323" s="108" t="s">
        <v>84</v>
      </c>
      <c r="B323" s="72" t="s">
        <v>129</v>
      </c>
      <c r="C323" s="71" t="s">
        <v>310</v>
      </c>
      <c r="D323" s="83"/>
      <c r="E323" s="72" t="s">
        <v>98</v>
      </c>
      <c r="F323" s="70" t="s">
        <v>85</v>
      </c>
      <c r="G323" s="70" t="s">
        <v>8</v>
      </c>
      <c r="H323" s="70" t="s">
        <v>73</v>
      </c>
      <c r="I323" s="70" t="s">
        <v>149</v>
      </c>
      <c r="J323" s="5">
        <v>2026</v>
      </c>
      <c r="K323" s="67">
        <v>340</v>
      </c>
      <c r="L323" s="68">
        <v>1</v>
      </c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>
        <f>($K323*$D323)/$L323</f>
        <v>0</v>
      </c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</row>
    <row r="324" spans="1:48" ht="16" x14ac:dyDescent="0.35">
      <c r="A324" s="108" t="s">
        <v>84</v>
      </c>
      <c r="B324" s="72" t="s">
        <v>129</v>
      </c>
      <c r="C324" s="71" t="s">
        <v>311</v>
      </c>
      <c r="D324" s="83"/>
      <c r="E324" s="72" t="s">
        <v>98</v>
      </c>
      <c r="F324" s="70" t="s">
        <v>85</v>
      </c>
      <c r="G324" s="70" t="s">
        <v>8</v>
      </c>
      <c r="H324" s="70" t="s">
        <v>73</v>
      </c>
      <c r="I324" s="70" t="s">
        <v>149</v>
      </c>
      <c r="J324" s="5">
        <v>2026</v>
      </c>
      <c r="K324" s="67">
        <v>340</v>
      </c>
      <c r="L324" s="68">
        <v>1</v>
      </c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>
        <f>($K324*$D324)/$L324</f>
        <v>0</v>
      </c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</row>
    <row r="325" spans="1:48" ht="16" x14ac:dyDescent="0.35">
      <c r="A325" s="108" t="s">
        <v>84</v>
      </c>
      <c r="B325" s="72" t="s">
        <v>129</v>
      </c>
      <c r="C325" s="71" t="s">
        <v>312</v>
      </c>
      <c r="D325" s="83"/>
      <c r="E325" s="72" t="s">
        <v>98</v>
      </c>
      <c r="F325" s="70" t="s">
        <v>85</v>
      </c>
      <c r="G325" s="70" t="s">
        <v>8</v>
      </c>
      <c r="H325" s="70" t="s">
        <v>73</v>
      </c>
      <c r="I325" s="70" t="s">
        <v>149</v>
      </c>
      <c r="J325" s="5">
        <v>2026</v>
      </c>
      <c r="K325" s="67">
        <v>20</v>
      </c>
      <c r="L325" s="68">
        <v>1</v>
      </c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5"/>
      <c r="Y325" s="65"/>
      <c r="Z325" s="65">
        <f>($K325*$D325)/$L325</f>
        <v>0</v>
      </c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</row>
    <row r="326" spans="1:48" ht="16" x14ac:dyDescent="0.35">
      <c r="A326" s="108" t="s">
        <v>84</v>
      </c>
      <c r="B326" s="72" t="s">
        <v>129</v>
      </c>
      <c r="C326" s="71" t="s">
        <v>313</v>
      </c>
      <c r="D326" s="83"/>
      <c r="E326" s="72" t="s">
        <v>98</v>
      </c>
      <c r="F326" s="70" t="s">
        <v>85</v>
      </c>
      <c r="G326" s="70" t="s">
        <v>8</v>
      </c>
      <c r="H326" s="70" t="s">
        <v>73</v>
      </c>
      <c r="I326" s="70" t="s">
        <v>149</v>
      </c>
      <c r="J326" s="5">
        <v>2026</v>
      </c>
      <c r="K326" s="67">
        <v>20</v>
      </c>
      <c r="L326" s="68">
        <v>1</v>
      </c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5"/>
      <c r="Y326" s="65"/>
      <c r="Z326" s="65">
        <f>($K326*$D326)/$L326</f>
        <v>0</v>
      </c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</row>
    <row r="327" spans="1:48" ht="16" x14ac:dyDescent="0.35">
      <c r="A327" s="108" t="s">
        <v>84</v>
      </c>
      <c r="B327" s="72" t="s">
        <v>129</v>
      </c>
      <c r="C327" s="71" t="s">
        <v>314</v>
      </c>
      <c r="D327" s="83"/>
      <c r="E327" s="72" t="s">
        <v>98</v>
      </c>
      <c r="F327" s="70" t="s">
        <v>85</v>
      </c>
      <c r="G327" s="70" t="s">
        <v>8</v>
      </c>
      <c r="H327" s="70" t="s">
        <v>73</v>
      </c>
      <c r="I327" s="70" t="s">
        <v>151</v>
      </c>
      <c r="J327" s="5">
        <v>2026</v>
      </c>
      <c r="K327" s="67">
        <v>20</v>
      </c>
      <c r="L327" s="68">
        <v>1</v>
      </c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5"/>
      <c r="Y327" s="65"/>
      <c r="Z327" s="65"/>
      <c r="AA327" s="65">
        <f>($K327*$D327)/$L327</f>
        <v>0</v>
      </c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</row>
    <row r="328" spans="1:48" ht="16" x14ac:dyDescent="0.35">
      <c r="A328" s="108" t="s">
        <v>84</v>
      </c>
      <c r="B328" s="72" t="s">
        <v>129</v>
      </c>
      <c r="C328" s="71" t="s">
        <v>315</v>
      </c>
      <c r="D328" s="83"/>
      <c r="E328" s="72" t="s">
        <v>98</v>
      </c>
      <c r="F328" s="70" t="s">
        <v>85</v>
      </c>
      <c r="G328" s="70" t="s">
        <v>8</v>
      </c>
      <c r="H328" s="70" t="s">
        <v>73</v>
      </c>
      <c r="I328" s="70" t="s">
        <v>153</v>
      </c>
      <c r="J328" s="5">
        <v>2026</v>
      </c>
      <c r="K328" s="67">
        <v>20</v>
      </c>
      <c r="L328" s="68">
        <v>1</v>
      </c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5"/>
      <c r="Y328" s="65"/>
      <c r="Z328" s="65"/>
      <c r="AA328" s="65"/>
      <c r="AB328" s="65">
        <f>($K328*$D328)/$L328</f>
        <v>0</v>
      </c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</row>
    <row r="329" spans="1:48" ht="16" x14ac:dyDescent="0.35">
      <c r="A329" s="108" t="s">
        <v>84</v>
      </c>
      <c r="B329" s="72" t="s">
        <v>129</v>
      </c>
      <c r="C329" s="71" t="s">
        <v>316</v>
      </c>
      <c r="D329" s="83"/>
      <c r="E329" s="72" t="s">
        <v>98</v>
      </c>
      <c r="F329" s="70" t="s">
        <v>85</v>
      </c>
      <c r="G329" s="70" t="s">
        <v>8</v>
      </c>
      <c r="H329" s="70" t="s">
        <v>73</v>
      </c>
      <c r="I329" s="70" t="s">
        <v>155</v>
      </c>
      <c r="J329" s="5">
        <v>2026</v>
      </c>
      <c r="K329" s="67">
        <v>20</v>
      </c>
      <c r="L329" s="68">
        <v>1</v>
      </c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5"/>
      <c r="Y329" s="65"/>
      <c r="Z329" s="65"/>
      <c r="AA329" s="65"/>
      <c r="AB329" s="65"/>
      <c r="AC329" s="65">
        <f>($K329*$D329)/$L329</f>
        <v>0</v>
      </c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</row>
    <row r="330" spans="1:48" ht="16" x14ac:dyDescent="0.35">
      <c r="A330" s="108" t="s">
        <v>84</v>
      </c>
      <c r="B330" s="72" t="s">
        <v>129</v>
      </c>
      <c r="C330" s="71" t="s">
        <v>317</v>
      </c>
      <c r="D330" s="83"/>
      <c r="E330" s="72" t="s">
        <v>98</v>
      </c>
      <c r="F330" s="70" t="s">
        <v>85</v>
      </c>
      <c r="G330" s="70" t="s">
        <v>8</v>
      </c>
      <c r="H330" s="70" t="s">
        <v>73</v>
      </c>
      <c r="I330" s="70" t="s">
        <v>157</v>
      </c>
      <c r="J330" s="5">
        <v>2026</v>
      </c>
      <c r="K330" s="67">
        <v>20</v>
      </c>
      <c r="L330" s="68">
        <v>1</v>
      </c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5"/>
      <c r="Y330" s="65"/>
      <c r="Z330" s="65"/>
      <c r="AA330" s="65"/>
      <c r="AB330" s="65"/>
      <c r="AC330" s="65"/>
      <c r="AD330" s="65">
        <f>($K330*$D330)/$L330</f>
        <v>0</v>
      </c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</row>
    <row r="331" spans="1:48" ht="16" x14ac:dyDescent="0.35">
      <c r="A331" s="108" t="s">
        <v>84</v>
      </c>
      <c r="B331" s="72" t="s">
        <v>129</v>
      </c>
      <c r="C331" s="71" t="s">
        <v>318</v>
      </c>
      <c r="D331" s="83"/>
      <c r="E331" s="72" t="s">
        <v>98</v>
      </c>
      <c r="F331" s="70" t="s">
        <v>85</v>
      </c>
      <c r="G331" s="70" t="s">
        <v>8</v>
      </c>
      <c r="H331" s="70" t="s">
        <v>73</v>
      </c>
      <c r="I331" s="70" t="s">
        <v>159</v>
      </c>
      <c r="J331" s="5">
        <v>2026</v>
      </c>
      <c r="K331" s="67">
        <v>20</v>
      </c>
      <c r="L331" s="68">
        <v>1</v>
      </c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5"/>
      <c r="Y331" s="65"/>
      <c r="Z331" s="65"/>
      <c r="AA331" s="65"/>
      <c r="AB331" s="65"/>
      <c r="AC331" s="65"/>
      <c r="AD331" s="65"/>
      <c r="AE331" s="65">
        <f>($K331*$D331)/$L331</f>
        <v>0</v>
      </c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</row>
    <row r="332" spans="1:48" ht="16" x14ac:dyDescent="0.35">
      <c r="A332" s="108" t="s">
        <v>84</v>
      </c>
      <c r="B332" s="72" t="s">
        <v>129</v>
      </c>
      <c r="C332" s="71" t="s">
        <v>319</v>
      </c>
      <c r="D332" s="83"/>
      <c r="E332" s="72" t="s">
        <v>98</v>
      </c>
      <c r="F332" s="70" t="s">
        <v>85</v>
      </c>
      <c r="G332" s="70" t="s">
        <v>8</v>
      </c>
      <c r="H332" s="70" t="s">
        <v>73</v>
      </c>
      <c r="I332" s="70" t="s">
        <v>161</v>
      </c>
      <c r="J332" s="5">
        <v>2026</v>
      </c>
      <c r="K332" s="67">
        <v>20</v>
      </c>
      <c r="L332" s="68">
        <v>1</v>
      </c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5"/>
      <c r="Y332" s="65"/>
      <c r="Z332" s="65"/>
      <c r="AA332" s="65"/>
      <c r="AB332" s="65"/>
      <c r="AC332" s="65"/>
      <c r="AD332" s="65"/>
      <c r="AE332" s="65"/>
      <c r="AF332" s="65">
        <f>($K332*$D332)/$L332</f>
        <v>0</v>
      </c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</row>
    <row r="333" spans="1:48" ht="16" x14ac:dyDescent="0.35">
      <c r="A333" s="108" t="s">
        <v>84</v>
      </c>
      <c r="B333" s="72" t="s">
        <v>129</v>
      </c>
      <c r="C333" s="71" t="s">
        <v>320</v>
      </c>
      <c r="D333" s="83"/>
      <c r="E333" s="72" t="s">
        <v>98</v>
      </c>
      <c r="F333" s="70" t="s">
        <v>85</v>
      </c>
      <c r="G333" s="70" t="s">
        <v>8</v>
      </c>
      <c r="H333" s="70" t="s">
        <v>73</v>
      </c>
      <c r="I333" s="70" t="s">
        <v>163</v>
      </c>
      <c r="J333" s="5">
        <v>2026</v>
      </c>
      <c r="K333" s="67">
        <v>20</v>
      </c>
      <c r="L333" s="68">
        <v>1</v>
      </c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5"/>
      <c r="Y333" s="65"/>
      <c r="Z333" s="65"/>
      <c r="AA333" s="65"/>
      <c r="AB333" s="65"/>
      <c r="AC333" s="65"/>
      <c r="AD333" s="65"/>
      <c r="AE333" s="65"/>
      <c r="AF333" s="65"/>
      <c r="AG333" s="65">
        <f>($K333*$D333)/$L333</f>
        <v>0</v>
      </c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</row>
    <row r="334" spans="1:48" ht="16" x14ac:dyDescent="0.35">
      <c r="A334" s="108" t="s">
        <v>84</v>
      </c>
      <c r="B334" s="72" t="s">
        <v>129</v>
      </c>
      <c r="C334" s="71" t="s">
        <v>321</v>
      </c>
      <c r="D334" s="83"/>
      <c r="E334" s="72" t="s">
        <v>98</v>
      </c>
      <c r="F334" s="70" t="s">
        <v>85</v>
      </c>
      <c r="G334" s="70" t="s">
        <v>8</v>
      </c>
      <c r="H334" s="70" t="s">
        <v>73</v>
      </c>
      <c r="I334" s="70" t="s">
        <v>165</v>
      </c>
      <c r="J334" s="5">
        <v>2026</v>
      </c>
      <c r="K334" s="67">
        <v>20</v>
      </c>
      <c r="L334" s="68">
        <v>1</v>
      </c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>
        <f>($K334*$D334)/$L334</f>
        <v>0</v>
      </c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</row>
    <row r="335" spans="1:48" ht="16" x14ac:dyDescent="0.35">
      <c r="A335" s="108" t="s">
        <v>84</v>
      </c>
      <c r="B335" s="72" t="s">
        <v>129</v>
      </c>
      <c r="C335" s="71" t="s">
        <v>322</v>
      </c>
      <c r="D335" s="83"/>
      <c r="E335" s="72" t="s">
        <v>98</v>
      </c>
      <c r="F335" s="70" t="s">
        <v>85</v>
      </c>
      <c r="G335" s="70" t="s">
        <v>8</v>
      </c>
      <c r="H335" s="70" t="s">
        <v>73</v>
      </c>
      <c r="I335" s="70" t="s">
        <v>167</v>
      </c>
      <c r="J335" s="5">
        <v>2026</v>
      </c>
      <c r="K335" s="67">
        <v>20</v>
      </c>
      <c r="L335" s="68">
        <v>1</v>
      </c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>
        <f>($K335*$D335)/$L335</f>
        <v>0</v>
      </c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</row>
    <row r="336" spans="1:48" ht="16" x14ac:dyDescent="0.35">
      <c r="A336" s="108" t="s">
        <v>84</v>
      </c>
      <c r="B336" s="72" t="s">
        <v>129</v>
      </c>
      <c r="C336" s="71" t="s">
        <v>323</v>
      </c>
      <c r="D336" s="83"/>
      <c r="E336" s="72" t="s">
        <v>98</v>
      </c>
      <c r="F336" s="70" t="s">
        <v>85</v>
      </c>
      <c r="G336" s="70" t="s">
        <v>8</v>
      </c>
      <c r="H336" s="70" t="s">
        <v>73</v>
      </c>
      <c r="I336" s="70" t="s">
        <v>169</v>
      </c>
      <c r="J336" s="5">
        <v>2026</v>
      </c>
      <c r="K336" s="67">
        <v>20</v>
      </c>
      <c r="L336" s="68">
        <v>1</v>
      </c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>
        <f>($K336*$D336)/$L336</f>
        <v>0</v>
      </c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</row>
    <row r="337" spans="1:48" ht="16" x14ac:dyDescent="0.35">
      <c r="A337" s="108" t="s">
        <v>70</v>
      </c>
      <c r="B337" s="72" t="s">
        <v>76</v>
      </c>
      <c r="C337" s="71" t="s">
        <v>324</v>
      </c>
      <c r="D337" s="83"/>
      <c r="E337" s="72" t="s">
        <v>91</v>
      </c>
      <c r="F337" s="70" t="s">
        <v>71</v>
      </c>
      <c r="G337" s="70" t="s">
        <v>8</v>
      </c>
      <c r="H337" s="70" t="s">
        <v>73</v>
      </c>
      <c r="I337" s="70" t="s">
        <v>153</v>
      </c>
      <c r="J337" s="5">
        <v>2026</v>
      </c>
      <c r="K337" s="67">
        <v>1000</v>
      </c>
      <c r="L337" s="68">
        <v>3</v>
      </c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5"/>
      <c r="Y337" s="65"/>
      <c r="Z337" s="65"/>
      <c r="AA337" s="65"/>
      <c r="AB337" s="65">
        <f t="shared" ref="AB337:AD338" si="7">($K337*$D337)/$L337</f>
        <v>0</v>
      </c>
      <c r="AC337" s="65">
        <f t="shared" si="7"/>
        <v>0</v>
      </c>
      <c r="AD337" s="65">
        <f t="shared" si="7"/>
        <v>0</v>
      </c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</row>
    <row r="338" spans="1:48" ht="16" x14ac:dyDescent="0.35">
      <c r="A338" s="108" t="s">
        <v>77</v>
      </c>
      <c r="B338" s="72" t="s">
        <v>131</v>
      </c>
      <c r="C338" s="71" t="s">
        <v>325</v>
      </c>
      <c r="D338" s="83"/>
      <c r="E338" s="72" t="s">
        <v>91</v>
      </c>
      <c r="F338" s="70" t="s">
        <v>71</v>
      </c>
      <c r="G338" s="70" t="s">
        <v>8</v>
      </c>
      <c r="H338" s="70" t="s">
        <v>73</v>
      </c>
      <c r="I338" s="70" t="s">
        <v>153</v>
      </c>
      <c r="J338" s="5">
        <v>2026</v>
      </c>
      <c r="K338" s="67">
        <v>1500</v>
      </c>
      <c r="L338" s="68">
        <v>3</v>
      </c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5"/>
      <c r="Y338" s="65"/>
      <c r="Z338" s="65"/>
      <c r="AA338" s="65"/>
      <c r="AB338" s="65">
        <f t="shared" si="7"/>
        <v>0</v>
      </c>
      <c r="AC338" s="65">
        <f t="shared" si="7"/>
        <v>0</v>
      </c>
      <c r="AD338" s="65">
        <f t="shared" si="7"/>
        <v>0</v>
      </c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</row>
    <row r="339" spans="1:48" ht="16" x14ac:dyDescent="0.35">
      <c r="A339" s="108" t="s">
        <v>70</v>
      </c>
      <c r="B339" s="72" t="s">
        <v>76</v>
      </c>
      <c r="C339" s="71" t="s">
        <v>326</v>
      </c>
      <c r="D339" s="83"/>
      <c r="E339" s="72" t="s">
        <v>91</v>
      </c>
      <c r="F339" s="70" t="s">
        <v>71</v>
      </c>
      <c r="G339" s="70" t="s">
        <v>8</v>
      </c>
      <c r="H339" s="70" t="s">
        <v>73</v>
      </c>
      <c r="I339" s="70" t="s">
        <v>159</v>
      </c>
      <c r="J339" s="5">
        <v>2026</v>
      </c>
      <c r="K339" s="67">
        <v>4000</v>
      </c>
      <c r="L339" s="68">
        <v>3</v>
      </c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5"/>
      <c r="Y339" s="65"/>
      <c r="Z339" s="65"/>
      <c r="AA339" s="65"/>
      <c r="AB339" s="65"/>
      <c r="AC339" s="65"/>
      <c r="AD339" s="65"/>
      <c r="AE339" s="65">
        <f t="shared" ref="AE339:AG340" si="8">($K339*$D339)/$L339</f>
        <v>0</v>
      </c>
      <c r="AF339" s="65">
        <f t="shared" si="8"/>
        <v>0</v>
      </c>
      <c r="AG339" s="65">
        <f t="shared" si="8"/>
        <v>0</v>
      </c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</row>
    <row r="340" spans="1:48" ht="16" x14ac:dyDescent="0.35">
      <c r="A340" s="108" t="s">
        <v>77</v>
      </c>
      <c r="B340" s="72" t="s">
        <v>131</v>
      </c>
      <c r="C340" s="71" t="s">
        <v>327</v>
      </c>
      <c r="D340" s="83"/>
      <c r="E340" s="72" t="s">
        <v>91</v>
      </c>
      <c r="F340" s="70" t="s">
        <v>71</v>
      </c>
      <c r="G340" s="70" t="s">
        <v>8</v>
      </c>
      <c r="H340" s="70" t="s">
        <v>73</v>
      </c>
      <c r="I340" s="70" t="s">
        <v>159</v>
      </c>
      <c r="J340" s="5">
        <v>2026</v>
      </c>
      <c r="K340" s="67">
        <v>2000</v>
      </c>
      <c r="L340" s="68">
        <v>3</v>
      </c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5"/>
      <c r="Y340" s="65"/>
      <c r="Z340" s="65"/>
      <c r="AA340" s="65"/>
      <c r="AB340" s="65"/>
      <c r="AC340" s="65"/>
      <c r="AD340" s="65"/>
      <c r="AE340" s="65">
        <f t="shared" si="8"/>
        <v>0</v>
      </c>
      <c r="AF340" s="65">
        <f t="shared" si="8"/>
        <v>0</v>
      </c>
      <c r="AG340" s="65">
        <f t="shared" si="8"/>
        <v>0</v>
      </c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</row>
    <row r="341" spans="1:48" ht="16" x14ac:dyDescent="0.35">
      <c r="A341" s="108" t="s">
        <v>70</v>
      </c>
      <c r="B341" s="72" t="s">
        <v>76</v>
      </c>
      <c r="C341" s="71" t="s">
        <v>328</v>
      </c>
      <c r="D341" s="83"/>
      <c r="E341" s="72" t="s">
        <v>91</v>
      </c>
      <c r="F341" s="70" t="s">
        <v>71</v>
      </c>
      <c r="G341" s="70" t="s">
        <v>8</v>
      </c>
      <c r="H341" s="70" t="s">
        <v>73</v>
      </c>
      <c r="I341" s="70" t="s">
        <v>165</v>
      </c>
      <c r="J341" s="5">
        <v>2026</v>
      </c>
      <c r="K341" s="67">
        <v>2500</v>
      </c>
      <c r="L341" s="68">
        <v>3</v>
      </c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>
        <f t="shared" ref="AH341:AJ342" si="9">($K341*$D341)/$L341</f>
        <v>0</v>
      </c>
      <c r="AI341" s="65">
        <f t="shared" si="9"/>
        <v>0</v>
      </c>
      <c r="AJ341" s="65">
        <f t="shared" si="9"/>
        <v>0</v>
      </c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</row>
    <row r="342" spans="1:48" ht="16" x14ac:dyDescent="0.35">
      <c r="A342" s="108" t="s">
        <v>77</v>
      </c>
      <c r="B342" s="72" t="s">
        <v>131</v>
      </c>
      <c r="C342" s="71" t="s">
        <v>329</v>
      </c>
      <c r="D342" s="83"/>
      <c r="E342" s="72" t="s">
        <v>91</v>
      </c>
      <c r="F342" s="70" t="s">
        <v>71</v>
      </c>
      <c r="G342" s="70" t="s">
        <v>8</v>
      </c>
      <c r="H342" s="70" t="s">
        <v>73</v>
      </c>
      <c r="I342" s="70" t="s">
        <v>165</v>
      </c>
      <c r="J342" s="5">
        <v>2026</v>
      </c>
      <c r="K342" s="67">
        <v>2500</v>
      </c>
      <c r="L342" s="68">
        <v>3</v>
      </c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>
        <f t="shared" si="9"/>
        <v>0</v>
      </c>
      <c r="AI342" s="65">
        <f t="shared" si="9"/>
        <v>0</v>
      </c>
      <c r="AJ342" s="65">
        <f t="shared" si="9"/>
        <v>0</v>
      </c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</row>
    <row r="343" spans="1:48" ht="16" x14ac:dyDescent="0.35">
      <c r="A343" s="108" t="s">
        <v>70</v>
      </c>
      <c r="B343" s="72" t="s">
        <v>76</v>
      </c>
      <c r="C343" s="71" t="s">
        <v>476</v>
      </c>
      <c r="D343" s="83">
        <v>1</v>
      </c>
      <c r="E343" s="72" t="s">
        <v>71</v>
      </c>
      <c r="F343" s="70" t="s">
        <v>71</v>
      </c>
      <c r="G343" s="70" t="s">
        <v>4</v>
      </c>
      <c r="H343" s="70" t="s">
        <v>93</v>
      </c>
      <c r="I343" s="70" t="s">
        <v>144</v>
      </c>
      <c r="J343" s="5">
        <v>2025</v>
      </c>
      <c r="K343" s="67">
        <v>600</v>
      </c>
      <c r="L343" s="68">
        <v>1</v>
      </c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>
        <f>($K343*$D343)/$L343</f>
        <v>600</v>
      </c>
      <c r="X343" s="66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</row>
    <row r="344" spans="1:48" ht="16" x14ac:dyDescent="0.35">
      <c r="A344" s="108" t="s">
        <v>70</v>
      </c>
      <c r="B344" s="72" t="s">
        <v>76</v>
      </c>
      <c r="C344" s="71" t="s">
        <v>546</v>
      </c>
      <c r="D344" s="83">
        <v>1</v>
      </c>
      <c r="E344" s="72" t="s">
        <v>79</v>
      </c>
      <c r="F344" s="70" t="s">
        <v>78</v>
      </c>
      <c r="G344" s="70" t="s">
        <v>4</v>
      </c>
      <c r="H344" s="70" t="s">
        <v>93</v>
      </c>
      <c r="I344" s="70" t="s">
        <v>149</v>
      </c>
      <c r="J344" s="5">
        <v>2026</v>
      </c>
      <c r="K344" s="67">
        <v>200</v>
      </c>
      <c r="L344" s="68">
        <v>1</v>
      </c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5"/>
      <c r="Z344" s="66">
        <v>200</v>
      </c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</row>
    <row r="345" spans="1:48" ht="16" x14ac:dyDescent="0.35">
      <c r="A345" s="108" t="s">
        <v>70</v>
      </c>
      <c r="B345" s="72" t="s">
        <v>76</v>
      </c>
      <c r="C345" s="71" t="s">
        <v>474</v>
      </c>
      <c r="D345" s="83">
        <v>1</v>
      </c>
      <c r="E345" s="72" t="s">
        <v>71</v>
      </c>
      <c r="F345" s="70" t="s">
        <v>71</v>
      </c>
      <c r="G345" s="70" t="s">
        <v>4</v>
      </c>
      <c r="H345" s="70" t="s">
        <v>93</v>
      </c>
      <c r="I345" s="70" t="s">
        <v>148</v>
      </c>
      <c r="J345" s="5">
        <v>2026</v>
      </c>
      <c r="K345" s="67">
        <v>300</v>
      </c>
      <c r="L345" s="68">
        <v>2</v>
      </c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>
        <v>100</v>
      </c>
      <c r="Z345" s="66">
        <v>200</v>
      </c>
      <c r="AA345" s="65"/>
      <c r="AB345" s="66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</row>
    <row r="346" spans="1:48" ht="16" x14ac:dyDescent="0.35">
      <c r="A346" s="108" t="s">
        <v>70</v>
      </c>
      <c r="B346" s="72" t="s">
        <v>76</v>
      </c>
      <c r="C346" s="71" t="s">
        <v>517</v>
      </c>
      <c r="D346" s="83">
        <v>1</v>
      </c>
      <c r="E346" s="72" t="s">
        <v>71</v>
      </c>
      <c r="F346" s="70" t="s">
        <v>71</v>
      </c>
      <c r="G346" s="70" t="s">
        <v>4</v>
      </c>
      <c r="H346" s="70" t="s">
        <v>93</v>
      </c>
      <c r="I346" s="70" t="s">
        <v>142</v>
      </c>
      <c r="J346" s="5">
        <v>2025</v>
      </c>
      <c r="K346" s="67">
        <v>700</v>
      </c>
      <c r="L346" s="68">
        <v>3</v>
      </c>
      <c r="M346" s="66"/>
      <c r="N346" s="66"/>
      <c r="O346" s="66"/>
      <c r="P346" s="66"/>
      <c r="Q346" s="66"/>
      <c r="R346" s="66"/>
      <c r="S346" s="66"/>
      <c r="T346" s="66"/>
      <c r="U346" s="66"/>
      <c r="V346" s="66">
        <v>380</v>
      </c>
      <c r="W346" s="66">
        <v>220</v>
      </c>
      <c r="X346" s="65">
        <v>100</v>
      </c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</row>
    <row r="347" spans="1:48" ht="16" x14ac:dyDescent="0.35">
      <c r="A347" s="108" t="s">
        <v>70</v>
      </c>
      <c r="B347" s="72" t="s">
        <v>76</v>
      </c>
      <c r="C347" s="71" t="s">
        <v>397</v>
      </c>
      <c r="D347" s="83">
        <v>1</v>
      </c>
      <c r="E347" s="72" t="s">
        <v>71</v>
      </c>
      <c r="F347" s="70" t="s">
        <v>71</v>
      </c>
      <c r="G347" s="70" t="s">
        <v>4</v>
      </c>
      <c r="H347" s="70" t="s">
        <v>93</v>
      </c>
      <c r="I347" s="70" t="s">
        <v>142</v>
      </c>
      <c r="J347" s="5">
        <v>2025</v>
      </c>
      <c r="K347" s="67">
        <v>1168</v>
      </c>
      <c r="L347" s="68">
        <v>4</v>
      </c>
      <c r="M347" s="66"/>
      <c r="N347" s="66"/>
      <c r="O347" s="66"/>
      <c r="P347" s="66"/>
      <c r="Q347" s="66"/>
      <c r="R347" s="66"/>
      <c r="S347" s="66"/>
      <c r="T347" s="66"/>
      <c r="U347" s="66"/>
      <c r="V347" s="66">
        <v>389.33333333333331</v>
      </c>
      <c r="W347" s="66">
        <v>389.33333333333331</v>
      </c>
      <c r="X347" s="66">
        <v>189</v>
      </c>
      <c r="Y347" s="65"/>
      <c r="Z347" s="65">
        <v>200</v>
      </c>
      <c r="AA347" s="65"/>
      <c r="AB347" s="66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</row>
    <row r="348" spans="1:48" ht="16" x14ac:dyDescent="0.35">
      <c r="A348" s="108" t="s">
        <v>70</v>
      </c>
      <c r="B348" s="72" t="s">
        <v>160</v>
      </c>
      <c r="C348" s="71" t="s">
        <v>424</v>
      </c>
      <c r="D348" s="83">
        <v>1</v>
      </c>
      <c r="E348" s="72" t="s">
        <v>72</v>
      </c>
      <c r="F348" s="70" t="s">
        <v>78</v>
      </c>
      <c r="G348" s="70" t="s">
        <v>4</v>
      </c>
      <c r="H348" s="70" t="s">
        <v>93</v>
      </c>
      <c r="I348" s="70" t="s">
        <v>146</v>
      </c>
      <c r="J348" s="5">
        <v>2026</v>
      </c>
      <c r="K348" s="67">
        <v>150</v>
      </c>
      <c r="L348" s="68">
        <v>1</v>
      </c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>
        <f>($K348*$D348)/$L348</f>
        <v>150</v>
      </c>
      <c r="Y348" s="66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</row>
    <row r="349" spans="1:48" ht="16" x14ac:dyDescent="0.35">
      <c r="A349" s="108" t="s">
        <v>77</v>
      </c>
      <c r="B349" s="72" t="s">
        <v>123</v>
      </c>
      <c r="C349" s="71" t="s">
        <v>539</v>
      </c>
      <c r="D349" s="83">
        <v>1</v>
      </c>
      <c r="E349" s="72" t="s">
        <v>91</v>
      </c>
      <c r="F349" s="70" t="s">
        <v>78</v>
      </c>
      <c r="G349" s="70" t="s">
        <v>8</v>
      </c>
      <c r="H349" s="70" t="s">
        <v>73</v>
      </c>
      <c r="I349" s="70" t="s">
        <v>151</v>
      </c>
      <c r="J349" s="5">
        <v>2026</v>
      </c>
      <c r="K349" s="67">
        <v>480</v>
      </c>
      <c r="L349" s="68">
        <v>1</v>
      </c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5"/>
      <c r="Z349" s="65"/>
      <c r="AA349" s="65">
        <f>($K349*$D349)/$L349</f>
        <v>480</v>
      </c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</row>
    <row r="350" spans="1:48" ht="16" x14ac:dyDescent="0.35">
      <c r="A350" s="108" t="s">
        <v>77</v>
      </c>
      <c r="B350" s="72" t="s">
        <v>123</v>
      </c>
      <c r="C350" s="71" t="s">
        <v>621</v>
      </c>
      <c r="D350" s="83">
        <v>1</v>
      </c>
      <c r="E350" s="72" t="s">
        <v>72</v>
      </c>
      <c r="F350" s="70" t="s">
        <v>78</v>
      </c>
      <c r="G350" s="70" t="s">
        <v>8</v>
      </c>
      <c r="H350" s="70" t="s">
        <v>73</v>
      </c>
      <c r="I350" s="70" t="s">
        <v>151</v>
      </c>
      <c r="J350" s="5">
        <v>2026</v>
      </c>
      <c r="K350" s="67">
        <v>600</v>
      </c>
      <c r="L350" s="68">
        <v>3</v>
      </c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5"/>
      <c r="Z350" s="65"/>
      <c r="AA350" s="65">
        <f>($K350*$D350)/$L350</f>
        <v>200</v>
      </c>
      <c r="AB350" s="65">
        <v>400</v>
      </c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</row>
    <row r="351" spans="1:48" ht="16" x14ac:dyDescent="0.35">
      <c r="A351" s="108" t="s">
        <v>70</v>
      </c>
      <c r="B351" s="72" t="s">
        <v>482</v>
      </c>
      <c r="C351" s="71" t="s">
        <v>547</v>
      </c>
      <c r="D351" s="83">
        <v>1</v>
      </c>
      <c r="E351" s="72" t="s">
        <v>72</v>
      </c>
      <c r="F351" s="70" t="s">
        <v>78</v>
      </c>
      <c r="G351" s="70" t="s">
        <v>4</v>
      </c>
      <c r="H351" s="70" t="s">
        <v>93</v>
      </c>
      <c r="I351" s="70" t="s">
        <v>148</v>
      </c>
      <c r="J351" s="5">
        <v>2026</v>
      </c>
      <c r="K351" s="67">
        <v>60</v>
      </c>
      <c r="L351" s="68">
        <v>1</v>
      </c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5"/>
      <c r="Y351" s="66"/>
      <c r="Z351" s="66">
        <f>($K351*$D351)/$L351</f>
        <v>60</v>
      </c>
      <c r="AA351" s="65"/>
      <c r="AB351" s="66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</row>
    <row r="352" spans="1:48" ht="16" x14ac:dyDescent="0.35">
      <c r="A352" s="108" t="s">
        <v>70</v>
      </c>
      <c r="B352" s="72" t="s">
        <v>482</v>
      </c>
      <c r="C352" s="71" t="s">
        <v>547</v>
      </c>
      <c r="D352" s="83">
        <v>1</v>
      </c>
      <c r="E352" s="72" t="s">
        <v>79</v>
      </c>
      <c r="F352" s="70" t="s">
        <v>78</v>
      </c>
      <c r="G352" s="70" t="s">
        <v>4</v>
      </c>
      <c r="H352" s="70" t="s">
        <v>93</v>
      </c>
      <c r="I352" s="70" t="s">
        <v>148</v>
      </c>
      <c r="J352" s="5">
        <v>2026</v>
      </c>
      <c r="K352" s="67">
        <v>120</v>
      </c>
      <c r="L352" s="68">
        <v>1</v>
      </c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5"/>
      <c r="Y352" s="66"/>
      <c r="Z352" s="66">
        <f>($K352*$D352)/$L352</f>
        <v>120</v>
      </c>
      <c r="AA352" s="65"/>
      <c r="AB352" s="66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</row>
    <row r="353" spans="1:48" ht="16" x14ac:dyDescent="0.35">
      <c r="A353" s="108" t="s">
        <v>70</v>
      </c>
      <c r="B353" s="72" t="s">
        <v>482</v>
      </c>
      <c r="C353" s="71" t="s">
        <v>540</v>
      </c>
      <c r="D353" s="83">
        <v>1</v>
      </c>
      <c r="E353" s="72" t="s">
        <v>79</v>
      </c>
      <c r="F353" s="70" t="s">
        <v>78</v>
      </c>
      <c r="G353" s="70" t="s">
        <v>4</v>
      </c>
      <c r="H353" s="70" t="s">
        <v>93</v>
      </c>
      <c r="I353" s="70" t="s">
        <v>148</v>
      </c>
      <c r="J353" s="5">
        <v>2026</v>
      </c>
      <c r="K353" s="67">
        <v>120</v>
      </c>
      <c r="L353" s="68">
        <v>2</v>
      </c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5"/>
      <c r="Y353" s="66">
        <v>80</v>
      </c>
      <c r="Z353" s="66">
        <v>40</v>
      </c>
      <c r="AA353" s="65"/>
      <c r="AB353" s="66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</row>
    <row r="354" spans="1:48" ht="16" x14ac:dyDescent="0.35">
      <c r="A354" s="108" t="s">
        <v>70</v>
      </c>
      <c r="B354" s="72" t="s">
        <v>482</v>
      </c>
      <c r="C354" s="71" t="s">
        <v>540</v>
      </c>
      <c r="D354" s="83">
        <v>1</v>
      </c>
      <c r="E354" s="72" t="s">
        <v>72</v>
      </c>
      <c r="F354" s="70" t="s">
        <v>78</v>
      </c>
      <c r="G354" s="70" t="s">
        <v>4</v>
      </c>
      <c r="H354" s="70" t="s">
        <v>93</v>
      </c>
      <c r="I354" s="70" t="s">
        <v>146</v>
      </c>
      <c r="J354" s="5">
        <v>2025</v>
      </c>
      <c r="K354" s="67">
        <v>80</v>
      </c>
      <c r="L354" s="68">
        <v>1</v>
      </c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>
        <f>($K354*$D354)/$L354</f>
        <v>80</v>
      </c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</row>
    <row r="355" spans="1:48" ht="16" x14ac:dyDescent="0.35">
      <c r="A355" s="108" t="s">
        <v>77</v>
      </c>
      <c r="B355" s="72" t="s">
        <v>123</v>
      </c>
      <c r="C355" s="71" t="s">
        <v>621</v>
      </c>
      <c r="D355" s="83">
        <v>1</v>
      </c>
      <c r="E355" s="72" t="s">
        <v>86</v>
      </c>
      <c r="F355" s="70" t="s">
        <v>78</v>
      </c>
      <c r="G355" s="70" t="s">
        <v>8</v>
      </c>
      <c r="H355" s="70" t="s">
        <v>73</v>
      </c>
      <c r="I355" s="70" t="s">
        <v>167</v>
      </c>
      <c r="J355" s="5">
        <v>2026</v>
      </c>
      <c r="K355" s="67">
        <v>450</v>
      </c>
      <c r="L355" s="68">
        <v>2</v>
      </c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>
        <f>($K355*$D355)/$L355</f>
        <v>225</v>
      </c>
      <c r="AJ355" s="65">
        <f>($K355*$D355)/$L355</f>
        <v>225</v>
      </c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</row>
    <row r="356" spans="1:48" ht="16" x14ac:dyDescent="0.35">
      <c r="A356" s="108" t="s">
        <v>77</v>
      </c>
      <c r="B356" s="72" t="s">
        <v>123</v>
      </c>
      <c r="C356" s="71" t="s">
        <v>621</v>
      </c>
      <c r="D356" s="83">
        <v>1</v>
      </c>
      <c r="E356" s="72" t="s">
        <v>79</v>
      </c>
      <c r="F356" s="70" t="s">
        <v>78</v>
      </c>
      <c r="G356" s="70" t="s">
        <v>8</v>
      </c>
      <c r="H356" s="70" t="s">
        <v>73</v>
      </c>
      <c r="I356" s="70" t="s">
        <v>161</v>
      </c>
      <c r="J356" s="5">
        <v>2026</v>
      </c>
      <c r="K356" s="67">
        <v>800</v>
      </c>
      <c r="L356" s="68">
        <v>3</v>
      </c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5"/>
      <c r="Z356" s="65"/>
      <c r="AA356" s="65"/>
      <c r="AB356" s="65"/>
      <c r="AC356" s="65"/>
      <c r="AD356" s="65"/>
      <c r="AE356" s="65"/>
      <c r="AF356" s="65">
        <f>($K356*$D356)/$L356</f>
        <v>266.66666666666669</v>
      </c>
      <c r="AG356" s="65">
        <f>($K356*$D356)/$L356</f>
        <v>266.66666666666669</v>
      </c>
      <c r="AH356" s="65">
        <f>($K356*$D356)/$L356</f>
        <v>266.66666666666669</v>
      </c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</row>
    <row r="357" spans="1:48" ht="16" x14ac:dyDescent="0.35">
      <c r="A357" s="108" t="s">
        <v>77</v>
      </c>
      <c r="B357" s="72" t="s">
        <v>121</v>
      </c>
      <c r="C357" s="71" t="s">
        <v>469</v>
      </c>
      <c r="D357" s="83">
        <v>1</v>
      </c>
      <c r="E357" s="72" t="s">
        <v>72</v>
      </c>
      <c r="F357" s="70" t="s">
        <v>85</v>
      </c>
      <c r="G357" s="70" t="s">
        <v>4</v>
      </c>
      <c r="H357" s="70" t="s">
        <v>93</v>
      </c>
      <c r="I357" s="70" t="s">
        <v>148</v>
      </c>
      <c r="J357" s="5">
        <v>2026</v>
      </c>
      <c r="K357" s="67">
        <v>250</v>
      </c>
      <c r="L357" s="68">
        <v>2</v>
      </c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5">
        <f>($K357*$D357)/$L357</f>
        <v>125</v>
      </c>
      <c r="Z357" s="65">
        <f>($K357*$D357)/$L357</f>
        <v>125</v>
      </c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</row>
    <row r="358" spans="1:48" ht="16" x14ac:dyDescent="0.35">
      <c r="A358" s="108" t="s">
        <v>77</v>
      </c>
      <c r="B358" s="72" t="s">
        <v>123</v>
      </c>
      <c r="C358" s="71" t="s">
        <v>425</v>
      </c>
      <c r="D358" s="83">
        <v>1</v>
      </c>
      <c r="E358" s="72" t="s">
        <v>72</v>
      </c>
      <c r="F358" s="70" t="s">
        <v>78</v>
      </c>
      <c r="G358" s="70" t="s">
        <v>4</v>
      </c>
      <c r="H358" s="70" t="s">
        <v>93</v>
      </c>
      <c r="I358" s="70" t="s">
        <v>144</v>
      </c>
      <c r="J358" s="5">
        <v>2025</v>
      </c>
      <c r="K358" s="67">
        <v>150</v>
      </c>
      <c r="L358" s="68">
        <v>1</v>
      </c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>
        <f>($K358*$D358)/$L358</f>
        <v>150</v>
      </c>
      <c r="X358" s="66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</row>
    <row r="359" spans="1:48" ht="16" x14ac:dyDescent="0.35">
      <c r="A359" s="108" t="s">
        <v>84</v>
      </c>
      <c r="B359" s="72" t="s">
        <v>129</v>
      </c>
      <c r="C359" s="71" t="s">
        <v>481</v>
      </c>
      <c r="D359" s="83">
        <v>1016</v>
      </c>
      <c r="E359" s="72" t="s">
        <v>98</v>
      </c>
      <c r="F359" s="70" t="s">
        <v>85</v>
      </c>
      <c r="G359" s="70" t="s">
        <v>4</v>
      </c>
      <c r="H359" s="70" t="s">
        <v>93</v>
      </c>
      <c r="I359" s="70" t="s">
        <v>146</v>
      </c>
      <c r="J359" s="5">
        <v>2025</v>
      </c>
      <c r="K359" s="67">
        <v>0.2</v>
      </c>
      <c r="L359" s="68">
        <v>2</v>
      </c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>
        <f>($K359*$D359)/$L359</f>
        <v>101.60000000000001</v>
      </c>
      <c r="Y359" s="66">
        <f>($K359*$D359)/$L359</f>
        <v>101.60000000000001</v>
      </c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</row>
    <row r="360" spans="1:48" ht="16" x14ac:dyDescent="0.35">
      <c r="A360" s="108" t="s">
        <v>84</v>
      </c>
      <c r="B360" s="148" t="s">
        <v>127</v>
      </c>
      <c r="C360" s="146" t="s">
        <v>522</v>
      </c>
      <c r="D360" s="147">
        <v>90</v>
      </c>
      <c r="E360" s="148" t="s">
        <v>79</v>
      </c>
      <c r="F360" s="149" t="s">
        <v>85</v>
      </c>
      <c r="G360" s="149" t="s">
        <v>4</v>
      </c>
      <c r="H360" s="149" t="s">
        <v>87</v>
      </c>
      <c r="I360" s="149" t="s">
        <v>151</v>
      </c>
      <c r="J360" s="150">
        <v>2026</v>
      </c>
      <c r="K360" s="151">
        <v>2</v>
      </c>
      <c r="L360" s="152">
        <v>1</v>
      </c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5"/>
      <c r="Z360" s="66"/>
      <c r="AA360" s="65">
        <f>($K360*$D360)/$L360</f>
        <v>180</v>
      </c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</row>
    <row r="361" spans="1:48" ht="16" x14ac:dyDescent="0.35">
      <c r="A361" s="108" t="s">
        <v>70</v>
      </c>
      <c r="B361" s="72" t="s">
        <v>112</v>
      </c>
      <c r="C361" s="71" t="s">
        <v>548</v>
      </c>
      <c r="D361" s="83">
        <v>1</v>
      </c>
      <c r="E361" s="72" t="s">
        <v>71</v>
      </c>
      <c r="F361" s="70" t="s">
        <v>71</v>
      </c>
      <c r="G361" s="70" t="s">
        <v>4</v>
      </c>
      <c r="H361" s="70" t="s">
        <v>87</v>
      </c>
      <c r="I361" s="70" t="s">
        <v>149</v>
      </c>
      <c r="J361" s="5">
        <v>2026</v>
      </c>
      <c r="K361" s="67">
        <v>235</v>
      </c>
      <c r="L361" s="68">
        <v>2</v>
      </c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5"/>
      <c r="Z361" s="65">
        <v>195</v>
      </c>
      <c r="AA361" s="65">
        <v>40</v>
      </c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</row>
    <row r="362" spans="1:48" ht="16" x14ac:dyDescent="0.35">
      <c r="A362" s="108" t="s">
        <v>70</v>
      </c>
      <c r="B362" s="72" t="s">
        <v>76</v>
      </c>
      <c r="C362" s="71" t="s">
        <v>549</v>
      </c>
      <c r="D362" s="83">
        <v>1</v>
      </c>
      <c r="E362" s="72" t="s">
        <v>71</v>
      </c>
      <c r="F362" s="70" t="s">
        <v>71</v>
      </c>
      <c r="G362" s="70" t="s">
        <v>8</v>
      </c>
      <c r="H362" s="70" t="s">
        <v>73</v>
      </c>
      <c r="I362" s="70" t="s">
        <v>171</v>
      </c>
      <c r="J362" s="5">
        <v>2027</v>
      </c>
      <c r="K362" s="67">
        <v>6000</v>
      </c>
      <c r="L362" s="68">
        <v>12</v>
      </c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>
        <f t="shared" ref="AK362:AV387" si="10">($K362*$D362)/$L362</f>
        <v>500</v>
      </c>
      <c r="AL362" s="65">
        <f t="shared" si="10"/>
        <v>500</v>
      </c>
      <c r="AM362" s="65">
        <f t="shared" si="10"/>
        <v>500</v>
      </c>
      <c r="AN362" s="65">
        <f t="shared" si="10"/>
        <v>500</v>
      </c>
      <c r="AO362" s="65">
        <f t="shared" si="10"/>
        <v>500</v>
      </c>
      <c r="AP362" s="65">
        <f t="shared" si="10"/>
        <v>500</v>
      </c>
      <c r="AQ362" s="65"/>
      <c r="AR362" s="65"/>
      <c r="AS362" s="65"/>
      <c r="AT362" s="65"/>
      <c r="AU362" s="65"/>
      <c r="AV362" s="65"/>
    </row>
    <row r="363" spans="1:48" ht="16" x14ac:dyDescent="0.35">
      <c r="A363" s="108" t="s">
        <v>77</v>
      </c>
      <c r="B363" s="72" t="s">
        <v>131</v>
      </c>
      <c r="C363" s="71" t="s">
        <v>549</v>
      </c>
      <c r="D363" s="83">
        <v>1</v>
      </c>
      <c r="E363" s="72" t="s">
        <v>71</v>
      </c>
      <c r="F363" s="70" t="s">
        <v>71</v>
      </c>
      <c r="G363" s="70" t="s">
        <v>8</v>
      </c>
      <c r="H363" s="70" t="s">
        <v>73</v>
      </c>
      <c r="I363" s="70" t="s">
        <v>171</v>
      </c>
      <c r="J363" s="5">
        <v>2027</v>
      </c>
      <c r="K363" s="67">
        <v>3000</v>
      </c>
      <c r="L363" s="68">
        <v>12</v>
      </c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>
        <f t="shared" si="10"/>
        <v>250</v>
      </c>
      <c r="AL363" s="65">
        <f t="shared" si="10"/>
        <v>250</v>
      </c>
      <c r="AM363" s="65">
        <f t="shared" si="10"/>
        <v>250</v>
      </c>
      <c r="AN363" s="65">
        <f t="shared" si="10"/>
        <v>250</v>
      </c>
      <c r="AO363" s="65">
        <f t="shared" si="10"/>
        <v>250</v>
      </c>
      <c r="AP363" s="65">
        <f t="shared" si="10"/>
        <v>250</v>
      </c>
      <c r="AQ363" s="65"/>
      <c r="AR363" s="65"/>
      <c r="AS363" s="65"/>
      <c r="AT363" s="65"/>
      <c r="AU363" s="65"/>
      <c r="AV363" s="65"/>
    </row>
    <row r="364" spans="1:48" ht="16" x14ac:dyDescent="0.35">
      <c r="A364" s="108" t="s">
        <v>84</v>
      </c>
      <c r="B364" s="72" t="s">
        <v>129</v>
      </c>
      <c r="C364" s="71" t="s">
        <v>582</v>
      </c>
      <c r="D364" s="83">
        <v>12</v>
      </c>
      <c r="E364" s="72" t="s">
        <v>98</v>
      </c>
      <c r="F364" s="70" t="s">
        <v>85</v>
      </c>
      <c r="G364" s="149" t="s">
        <v>4</v>
      </c>
      <c r="H364" s="149" t="s">
        <v>330</v>
      </c>
      <c r="I364" s="70" t="s">
        <v>171</v>
      </c>
      <c r="J364" s="5">
        <v>2027</v>
      </c>
      <c r="K364" s="67">
        <v>135</v>
      </c>
      <c r="L364" s="68">
        <v>1</v>
      </c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>
        <f t="shared" si="10"/>
        <v>1620</v>
      </c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</row>
    <row r="365" spans="1:48" ht="16" x14ac:dyDescent="0.35">
      <c r="A365" s="108" t="s">
        <v>84</v>
      </c>
      <c r="B365" s="72" t="s">
        <v>129</v>
      </c>
      <c r="C365" s="71" t="s">
        <v>583</v>
      </c>
      <c r="D365" s="83">
        <v>2</v>
      </c>
      <c r="E365" s="72" t="s">
        <v>98</v>
      </c>
      <c r="F365" s="70" t="s">
        <v>85</v>
      </c>
      <c r="G365" s="149" t="s">
        <v>4</v>
      </c>
      <c r="H365" s="149" t="s">
        <v>330</v>
      </c>
      <c r="I365" s="70" t="s">
        <v>173</v>
      </c>
      <c r="J365" s="5">
        <v>2027</v>
      </c>
      <c r="K365" s="67">
        <v>135</v>
      </c>
      <c r="L365" s="68">
        <v>1</v>
      </c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>
        <f t="shared" si="10"/>
        <v>270</v>
      </c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</row>
    <row r="366" spans="1:48" ht="16" x14ac:dyDescent="0.35">
      <c r="A366" s="108" t="s">
        <v>84</v>
      </c>
      <c r="B366" s="72" t="s">
        <v>129</v>
      </c>
      <c r="C366" s="71" t="s">
        <v>584</v>
      </c>
      <c r="D366" s="83">
        <v>13</v>
      </c>
      <c r="E366" s="72" t="s">
        <v>98</v>
      </c>
      <c r="F366" s="70" t="s">
        <v>85</v>
      </c>
      <c r="G366" s="149" t="s">
        <v>4</v>
      </c>
      <c r="H366" s="149" t="s">
        <v>330</v>
      </c>
      <c r="I366" s="70" t="s">
        <v>173</v>
      </c>
      <c r="J366" s="5">
        <v>2027</v>
      </c>
      <c r="K366" s="67">
        <v>135</v>
      </c>
      <c r="L366" s="68">
        <v>1</v>
      </c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>
        <f t="shared" si="10"/>
        <v>1755</v>
      </c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</row>
    <row r="367" spans="1:48" ht="16" x14ac:dyDescent="0.35">
      <c r="A367" s="108" t="s">
        <v>84</v>
      </c>
      <c r="B367" s="72" t="s">
        <v>129</v>
      </c>
      <c r="C367" s="71" t="s">
        <v>585</v>
      </c>
      <c r="D367" s="83">
        <v>78</v>
      </c>
      <c r="E367" s="72" t="s">
        <v>98</v>
      </c>
      <c r="F367" s="70" t="s">
        <v>85</v>
      </c>
      <c r="G367" s="149" t="s">
        <v>4</v>
      </c>
      <c r="H367" s="149" t="s">
        <v>330</v>
      </c>
      <c r="I367" s="70" t="s">
        <v>171</v>
      </c>
      <c r="J367" s="5">
        <v>2027</v>
      </c>
      <c r="K367" s="67">
        <v>34.200000000000003</v>
      </c>
      <c r="L367" s="68">
        <v>1</v>
      </c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>
        <f t="shared" si="10"/>
        <v>2667.6000000000004</v>
      </c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</row>
    <row r="368" spans="1:48" ht="16" x14ac:dyDescent="0.35">
      <c r="A368" s="108" t="s">
        <v>84</v>
      </c>
      <c r="B368" s="72" t="s">
        <v>129</v>
      </c>
      <c r="C368" s="71" t="s">
        <v>586</v>
      </c>
      <c r="D368" s="83">
        <v>56</v>
      </c>
      <c r="E368" s="72" t="s">
        <v>98</v>
      </c>
      <c r="F368" s="70" t="s">
        <v>85</v>
      </c>
      <c r="G368" s="149" t="s">
        <v>4</v>
      </c>
      <c r="H368" s="149" t="s">
        <v>330</v>
      </c>
      <c r="I368" s="70" t="s">
        <v>175</v>
      </c>
      <c r="J368" s="5">
        <v>2027</v>
      </c>
      <c r="K368" s="67">
        <v>34.200000000000003</v>
      </c>
      <c r="L368" s="68">
        <v>1</v>
      </c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>
        <f t="shared" si="10"/>
        <v>1915.2000000000003</v>
      </c>
      <c r="AN368" s="65"/>
      <c r="AO368" s="65"/>
      <c r="AP368" s="65"/>
      <c r="AQ368" s="65"/>
      <c r="AR368" s="65"/>
      <c r="AS368" s="65"/>
      <c r="AT368" s="65"/>
      <c r="AU368" s="65"/>
      <c r="AV368" s="65"/>
    </row>
    <row r="369" spans="1:48" ht="16" x14ac:dyDescent="0.35">
      <c r="A369" s="108" t="s">
        <v>84</v>
      </c>
      <c r="B369" s="72" t="s">
        <v>129</v>
      </c>
      <c r="C369" s="71" t="s">
        <v>587</v>
      </c>
      <c r="D369" s="83">
        <v>49</v>
      </c>
      <c r="E369" s="72" t="s">
        <v>98</v>
      </c>
      <c r="F369" s="70" t="s">
        <v>85</v>
      </c>
      <c r="G369" s="149" t="s">
        <v>4</v>
      </c>
      <c r="H369" s="149" t="s">
        <v>330</v>
      </c>
      <c r="I369" s="70" t="s">
        <v>177</v>
      </c>
      <c r="J369" s="5">
        <v>2027</v>
      </c>
      <c r="K369" s="67">
        <v>34.200000000000003</v>
      </c>
      <c r="L369" s="68">
        <v>1</v>
      </c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>
        <f t="shared" si="10"/>
        <v>1675.8000000000002</v>
      </c>
      <c r="AO369" s="65"/>
      <c r="AP369" s="65"/>
      <c r="AQ369" s="65"/>
      <c r="AR369" s="65"/>
      <c r="AS369" s="65"/>
      <c r="AT369" s="65"/>
      <c r="AU369" s="65"/>
      <c r="AV369" s="65"/>
    </row>
    <row r="370" spans="1:48" ht="16" x14ac:dyDescent="0.35">
      <c r="A370" s="108" t="s">
        <v>84</v>
      </c>
      <c r="B370" s="72" t="s">
        <v>129</v>
      </c>
      <c r="C370" s="71" t="s">
        <v>588</v>
      </c>
      <c r="D370" s="83">
        <v>8</v>
      </c>
      <c r="E370" s="72" t="s">
        <v>98</v>
      </c>
      <c r="F370" s="70" t="s">
        <v>85</v>
      </c>
      <c r="G370" s="149" t="s">
        <v>4</v>
      </c>
      <c r="H370" s="149" t="s">
        <v>330</v>
      </c>
      <c r="I370" s="70" t="s">
        <v>177</v>
      </c>
      <c r="J370" s="5">
        <v>2027</v>
      </c>
      <c r="K370" s="67">
        <v>279</v>
      </c>
      <c r="L370" s="68">
        <v>1</v>
      </c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>
        <f t="shared" si="10"/>
        <v>2232</v>
      </c>
      <c r="AO370" s="65"/>
      <c r="AP370" s="65"/>
      <c r="AQ370" s="65"/>
      <c r="AR370" s="65"/>
      <c r="AS370" s="65"/>
      <c r="AT370" s="65"/>
      <c r="AU370" s="65"/>
      <c r="AV370" s="65"/>
    </row>
    <row r="371" spans="1:48" ht="16" x14ac:dyDescent="0.35">
      <c r="A371" s="108" t="s">
        <v>84</v>
      </c>
      <c r="B371" s="72" t="s">
        <v>129</v>
      </c>
      <c r="C371" s="71" t="s">
        <v>589</v>
      </c>
      <c r="D371" s="83">
        <v>8</v>
      </c>
      <c r="E371" s="72" t="s">
        <v>98</v>
      </c>
      <c r="F371" s="70" t="s">
        <v>85</v>
      </c>
      <c r="G371" s="149" t="s">
        <v>4</v>
      </c>
      <c r="H371" s="149" t="s">
        <v>330</v>
      </c>
      <c r="I371" s="70" t="s">
        <v>179</v>
      </c>
      <c r="J371" s="5">
        <v>2027</v>
      </c>
      <c r="K371" s="67">
        <v>279</v>
      </c>
      <c r="L371" s="68">
        <v>1</v>
      </c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>
        <f t="shared" si="10"/>
        <v>2232</v>
      </c>
      <c r="AP371" s="65"/>
      <c r="AQ371" s="65"/>
      <c r="AR371" s="65"/>
      <c r="AS371" s="65"/>
      <c r="AT371" s="65"/>
      <c r="AU371" s="65"/>
      <c r="AV371" s="65"/>
    </row>
    <row r="372" spans="1:48" ht="16" x14ac:dyDescent="0.35">
      <c r="A372" s="108" t="s">
        <v>84</v>
      </c>
      <c r="B372" s="72" t="s">
        <v>129</v>
      </c>
      <c r="C372" s="71" t="s">
        <v>590</v>
      </c>
      <c r="D372" s="83">
        <v>8</v>
      </c>
      <c r="E372" s="72" t="s">
        <v>98</v>
      </c>
      <c r="F372" s="70" t="s">
        <v>85</v>
      </c>
      <c r="G372" s="149" t="s">
        <v>4</v>
      </c>
      <c r="H372" s="149" t="s">
        <v>330</v>
      </c>
      <c r="I372" s="70" t="s">
        <v>181</v>
      </c>
      <c r="J372" s="5">
        <v>2027</v>
      </c>
      <c r="K372" s="67">
        <v>279</v>
      </c>
      <c r="L372" s="68">
        <v>1</v>
      </c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>
        <f t="shared" si="10"/>
        <v>2232</v>
      </c>
      <c r="AQ372" s="65"/>
      <c r="AR372" s="65"/>
      <c r="AS372" s="65"/>
      <c r="AT372" s="65"/>
      <c r="AU372" s="65"/>
      <c r="AV372" s="65"/>
    </row>
    <row r="373" spans="1:48" ht="16" x14ac:dyDescent="0.35">
      <c r="A373" s="108" t="s">
        <v>84</v>
      </c>
      <c r="B373" s="72" t="s">
        <v>129</v>
      </c>
      <c r="C373" s="71" t="s">
        <v>591</v>
      </c>
      <c r="D373" s="83">
        <v>12</v>
      </c>
      <c r="E373" s="72" t="s">
        <v>98</v>
      </c>
      <c r="F373" s="70" t="s">
        <v>85</v>
      </c>
      <c r="G373" s="149" t="s">
        <v>4</v>
      </c>
      <c r="H373" s="149" t="s">
        <v>330</v>
      </c>
      <c r="I373" s="70" t="s">
        <v>179</v>
      </c>
      <c r="J373" s="5">
        <v>2027</v>
      </c>
      <c r="K373" s="67">
        <v>79.2</v>
      </c>
      <c r="L373" s="68">
        <v>1</v>
      </c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>
        <f t="shared" si="10"/>
        <v>950.40000000000009</v>
      </c>
      <c r="AP373" s="65"/>
      <c r="AQ373" s="65"/>
      <c r="AR373" s="65"/>
      <c r="AS373" s="65"/>
      <c r="AT373" s="65"/>
      <c r="AU373" s="65"/>
      <c r="AV373" s="65"/>
    </row>
    <row r="374" spans="1:48" ht="16" x14ac:dyDescent="0.35">
      <c r="A374" s="108" t="s">
        <v>84</v>
      </c>
      <c r="B374" s="72" t="s">
        <v>129</v>
      </c>
      <c r="C374" s="71" t="s">
        <v>592</v>
      </c>
      <c r="D374" s="83">
        <v>12</v>
      </c>
      <c r="E374" s="72" t="s">
        <v>98</v>
      </c>
      <c r="F374" s="70" t="s">
        <v>85</v>
      </c>
      <c r="G374" s="149" t="s">
        <v>4</v>
      </c>
      <c r="H374" s="149" t="s">
        <v>330</v>
      </c>
      <c r="I374" s="70" t="s">
        <v>551</v>
      </c>
      <c r="J374" s="5">
        <v>2027</v>
      </c>
      <c r="K374" s="67">
        <v>79.2</v>
      </c>
      <c r="L374" s="68">
        <v>1</v>
      </c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>
        <f t="shared" si="10"/>
        <v>950.40000000000009</v>
      </c>
      <c r="AR374" s="65"/>
      <c r="AS374" s="65"/>
      <c r="AT374" s="65"/>
      <c r="AU374" s="65"/>
      <c r="AV374" s="65"/>
    </row>
    <row r="375" spans="1:48" ht="16" x14ac:dyDescent="0.35">
      <c r="A375" s="108" t="s">
        <v>84</v>
      </c>
      <c r="B375" s="72" t="s">
        <v>129</v>
      </c>
      <c r="C375" s="71" t="s">
        <v>593</v>
      </c>
      <c r="D375" s="83">
        <v>12</v>
      </c>
      <c r="E375" s="72" t="s">
        <v>98</v>
      </c>
      <c r="F375" s="70" t="s">
        <v>85</v>
      </c>
      <c r="G375" s="149" t="s">
        <v>4</v>
      </c>
      <c r="H375" s="149" t="s">
        <v>330</v>
      </c>
      <c r="I375" s="70" t="s">
        <v>551</v>
      </c>
      <c r="J375" s="5">
        <v>2027</v>
      </c>
      <c r="K375" s="67">
        <v>79.2</v>
      </c>
      <c r="L375" s="68">
        <v>1</v>
      </c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>
        <f t="shared" si="10"/>
        <v>950.40000000000009</v>
      </c>
      <c r="AR375" s="65"/>
      <c r="AS375" s="65"/>
      <c r="AT375" s="65"/>
      <c r="AU375" s="65"/>
      <c r="AV375" s="65"/>
    </row>
    <row r="376" spans="1:48" ht="16" x14ac:dyDescent="0.35">
      <c r="A376" s="108" t="s">
        <v>84</v>
      </c>
      <c r="B376" s="72" t="s">
        <v>129</v>
      </c>
      <c r="C376" s="71" t="s">
        <v>594</v>
      </c>
      <c r="D376" s="83">
        <v>5</v>
      </c>
      <c r="E376" s="72" t="s">
        <v>98</v>
      </c>
      <c r="F376" s="70" t="s">
        <v>85</v>
      </c>
      <c r="G376" s="149" t="s">
        <v>4</v>
      </c>
      <c r="H376" s="149" t="s">
        <v>330</v>
      </c>
      <c r="I376" s="70" t="s">
        <v>551</v>
      </c>
      <c r="J376" s="5">
        <v>2027</v>
      </c>
      <c r="K376" s="67">
        <v>110</v>
      </c>
      <c r="L376" s="68">
        <v>1</v>
      </c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>
        <f t="shared" si="10"/>
        <v>550</v>
      </c>
      <c r="AR376" s="65"/>
      <c r="AS376" s="65"/>
      <c r="AT376" s="65"/>
      <c r="AU376" s="65"/>
      <c r="AV376" s="65"/>
    </row>
    <row r="377" spans="1:48" ht="16" x14ac:dyDescent="0.35">
      <c r="A377" s="108" t="s">
        <v>84</v>
      </c>
      <c r="B377" s="72" t="s">
        <v>129</v>
      </c>
      <c r="C377" s="71" t="s">
        <v>595</v>
      </c>
      <c r="D377" s="83">
        <v>5</v>
      </c>
      <c r="E377" s="72" t="s">
        <v>98</v>
      </c>
      <c r="F377" s="70" t="s">
        <v>85</v>
      </c>
      <c r="G377" s="149" t="s">
        <v>4</v>
      </c>
      <c r="H377" s="149" t="s">
        <v>330</v>
      </c>
      <c r="I377" s="70" t="s">
        <v>552</v>
      </c>
      <c r="J377" s="5">
        <v>2027</v>
      </c>
      <c r="K377" s="67">
        <v>110</v>
      </c>
      <c r="L377" s="68">
        <v>1</v>
      </c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>
        <f t="shared" si="10"/>
        <v>550</v>
      </c>
      <c r="AS377" s="65"/>
      <c r="AT377" s="65"/>
      <c r="AU377" s="65"/>
      <c r="AV377" s="65"/>
    </row>
    <row r="378" spans="1:48" ht="16" x14ac:dyDescent="0.35">
      <c r="A378" s="108" t="s">
        <v>84</v>
      </c>
      <c r="B378" s="72" t="s">
        <v>129</v>
      </c>
      <c r="C378" s="71" t="s">
        <v>596</v>
      </c>
      <c r="D378" s="83">
        <v>5</v>
      </c>
      <c r="E378" s="72" t="s">
        <v>98</v>
      </c>
      <c r="F378" s="70" t="s">
        <v>85</v>
      </c>
      <c r="G378" s="149" t="s">
        <v>4</v>
      </c>
      <c r="H378" s="149" t="s">
        <v>330</v>
      </c>
      <c r="I378" s="70" t="s">
        <v>553</v>
      </c>
      <c r="J378" s="5">
        <v>2027</v>
      </c>
      <c r="K378" s="67">
        <v>110</v>
      </c>
      <c r="L378" s="68">
        <v>1</v>
      </c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>
        <f t="shared" si="10"/>
        <v>550</v>
      </c>
      <c r="AT378" s="65"/>
      <c r="AU378" s="65"/>
      <c r="AV378" s="65"/>
    </row>
    <row r="379" spans="1:48" ht="16" x14ac:dyDescent="0.35">
      <c r="A379" s="108" t="s">
        <v>84</v>
      </c>
      <c r="B379" s="72" t="s">
        <v>129</v>
      </c>
      <c r="C379" s="71" t="s">
        <v>597</v>
      </c>
      <c r="D379" s="83">
        <v>77</v>
      </c>
      <c r="E379" s="72" t="s">
        <v>98</v>
      </c>
      <c r="F379" s="70" t="s">
        <v>85</v>
      </c>
      <c r="G379" s="149" t="s">
        <v>4</v>
      </c>
      <c r="H379" s="149" t="s">
        <v>330</v>
      </c>
      <c r="I379" s="70" t="s">
        <v>552</v>
      </c>
      <c r="J379" s="5">
        <v>2027</v>
      </c>
      <c r="K379" s="67">
        <v>33</v>
      </c>
      <c r="L379" s="68">
        <v>1</v>
      </c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>
        <f t="shared" si="10"/>
        <v>2541</v>
      </c>
      <c r="AS379" s="65"/>
      <c r="AT379" s="65"/>
      <c r="AU379" s="65"/>
      <c r="AV379" s="65"/>
    </row>
    <row r="380" spans="1:48" ht="16" x14ac:dyDescent="0.35">
      <c r="A380" s="108" t="s">
        <v>84</v>
      </c>
      <c r="B380" s="72" t="s">
        <v>129</v>
      </c>
      <c r="C380" s="71" t="s">
        <v>598</v>
      </c>
      <c r="D380" s="83">
        <v>77</v>
      </c>
      <c r="E380" s="72" t="s">
        <v>98</v>
      </c>
      <c r="F380" s="70" t="s">
        <v>85</v>
      </c>
      <c r="G380" s="149" t="s">
        <v>4</v>
      </c>
      <c r="H380" s="149" t="s">
        <v>330</v>
      </c>
      <c r="I380" s="70" t="s">
        <v>554</v>
      </c>
      <c r="J380" s="5">
        <v>2027</v>
      </c>
      <c r="K380" s="67">
        <v>33</v>
      </c>
      <c r="L380" s="68">
        <v>1</v>
      </c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>
        <f t="shared" si="10"/>
        <v>2541</v>
      </c>
      <c r="AU380" s="65"/>
      <c r="AV380" s="65"/>
    </row>
    <row r="381" spans="1:48" ht="16" x14ac:dyDescent="0.35">
      <c r="A381" s="108" t="s">
        <v>84</v>
      </c>
      <c r="B381" s="72" t="s">
        <v>129</v>
      </c>
      <c r="C381" s="71" t="s">
        <v>599</v>
      </c>
      <c r="D381" s="83">
        <v>77</v>
      </c>
      <c r="E381" s="72" t="s">
        <v>98</v>
      </c>
      <c r="F381" s="70" t="s">
        <v>85</v>
      </c>
      <c r="G381" s="149" t="s">
        <v>4</v>
      </c>
      <c r="H381" s="149" t="s">
        <v>330</v>
      </c>
      <c r="I381" s="70" t="s">
        <v>554</v>
      </c>
      <c r="J381" s="5">
        <v>2027</v>
      </c>
      <c r="K381" s="67">
        <v>33</v>
      </c>
      <c r="L381" s="68">
        <v>1</v>
      </c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>
        <f t="shared" si="10"/>
        <v>2541</v>
      </c>
      <c r="AU381" s="65"/>
      <c r="AV381" s="65"/>
    </row>
    <row r="382" spans="1:48" ht="16" x14ac:dyDescent="0.35">
      <c r="A382" s="108" t="s">
        <v>84</v>
      </c>
      <c r="B382" s="72" t="s">
        <v>129</v>
      </c>
      <c r="C382" s="71" t="s">
        <v>600</v>
      </c>
      <c r="D382" s="83">
        <v>10</v>
      </c>
      <c r="E382" s="72" t="s">
        <v>98</v>
      </c>
      <c r="F382" s="70" t="s">
        <v>85</v>
      </c>
      <c r="G382" s="149" t="s">
        <v>4</v>
      </c>
      <c r="H382" s="149" t="s">
        <v>330</v>
      </c>
      <c r="I382" s="70" t="s">
        <v>553</v>
      </c>
      <c r="J382" s="5">
        <v>2027</v>
      </c>
      <c r="K382" s="67">
        <v>300</v>
      </c>
      <c r="L382" s="68">
        <v>1</v>
      </c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>
        <f t="shared" si="10"/>
        <v>3000</v>
      </c>
      <c r="AT382" s="65"/>
      <c r="AU382" s="65"/>
      <c r="AV382" s="65"/>
    </row>
    <row r="383" spans="1:48" ht="16" x14ac:dyDescent="0.35">
      <c r="A383" s="108" t="s">
        <v>84</v>
      </c>
      <c r="B383" s="72" t="s">
        <v>129</v>
      </c>
      <c r="C383" s="71" t="s">
        <v>601</v>
      </c>
      <c r="D383" s="83">
        <v>10</v>
      </c>
      <c r="E383" s="72" t="s">
        <v>98</v>
      </c>
      <c r="F383" s="70" t="s">
        <v>85</v>
      </c>
      <c r="G383" s="149" t="s">
        <v>4</v>
      </c>
      <c r="H383" s="149" t="s">
        <v>330</v>
      </c>
      <c r="I383" s="70" t="s">
        <v>554</v>
      </c>
      <c r="J383" s="5">
        <v>2027</v>
      </c>
      <c r="K383" s="67">
        <v>300</v>
      </c>
      <c r="L383" s="68">
        <v>1</v>
      </c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>
        <f t="shared" si="10"/>
        <v>3000</v>
      </c>
      <c r="AU383" s="65"/>
      <c r="AV383" s="65"/>
    </row>
    <row r="384" spans="1:48" ht="16" x14ac:dyDescent="0.35">
      <c r="A384" s="108" t="s">
        <v>84</v>
      </c>
      <c r="B384" s="72" t="s">
        <v>129</v>
      </c>
      <c r="C384" s="71" t="s">
        <v>602</v>
      </c>
      <c r="D384" s="83">
        <v>10</v>
      </c>
      <c r="E384" s="72" t="s">
        <v>98</v>
      </c>
      <c r="F384" s="70" t="s">
        <v>85</v>
      </c>
      <c r="G384" s="149" t="s">
        <v>4</v>
      </c>
      <c r="H384" s="149" t="s">
        <v>330</v>
      </c>
      <c r="I384" s="70" t="s">
        <v>555</v>
      </c>
      <c r="J384" s="5">
        <v>2027</v>
      </c>
      <c r="K384" s="67">
        <v>300</v>
      </c>
      <c r="L384" s="68">
        <v>1</v>
      </c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>
        <f t="shared" si="10"/>
        <v>3000</v>
      </c>
      <c r="AV384" s="65"/>
    </row>
    <row r="385" spans="1:48" ht="16" x14ac:dyDescent="0.35">
      <c r="A385" s="108" t="s">
        <v>84</v>
      </c>
      <c r="B385" s="72" t="s">
        <v>129</v>
      </c>
      <c r="C385" s="71" t="s">
        <v>603</v>
      </c>
      <c r="D385" s="83">
        <v>10</v>
      </c>
      <c r="E385" s="72" t="s">
        <v>98</v>
      </c>
      <c r="F385" s="70" t="s">
        <v>85</v>
      </c>
      <c r="G385" s="149" t="s">
        <v>4</v>
      </c>
      <c r="H385" s="149" t="s">
        <v>330</v>
      </c>
      <c r="I385" s="70" t="s">
        <v>555</v>
      </c>
      <c r="J385" s="5">
        <v>2027</v>
      </c>
      <c r="K385" s="67">
        <v>66</v>
      </c>
      <c r="L385" s="68">
        <v>1</v>
      </c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>
        <f t="shared" si="10"/>
        <v>660</v>
      </c>
      <c r="AV385" s="65"/>
    </row>
    <row r="386" spans="1:48" ht="16" x14ac:dyDescent="0.35">
      <c r="A386" s="108" t="s">
        <v>84</v>
      </c>
      <c r="B386" s="72" t="s">
        <v>129</v>
      </c>
      <c r="C386" s="71" t="s">
        <v>604</v>
      </c>
      <c r="D386" s="83">
        <v>10</v>
      </c>
      <c r="E386" s="72" t="s">
        <v>98</v>
      </c>
      <c r="F386" s="70" t="s">
        <v>85</v>
      </c>
      <c r="G386" s="149" t="s">
        <v>4</v>
      </c>
      <c r="H386" s="149" t="s">
        <v>330</v>
      </c>
      <c r="I386" s="70" t="s">
        <v>555</v>
      </c>
      <c r="J386" s="5">
        <v>2027</v>
      </c>
      <c r="K386" s="67">
        <v>66</v>
      </c>
      <c r="L386" s="68">
        <v>1</v>
      </c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>
        <f t="shared" si="10"/>
        <v>660</v>
      </c>
      <c r="AV386" s="65"/>
    </row>
    <row r="387" spans="1:48" ht="16" x14ac:dyDescent="0.35">
      <c r="A387" s="108" t="s">
        <v>84</v>
      </c>
      <c r="B387" s="72" t="s">
        <v>129</v>
      </c>
      <c r="C387" s="71" t="s">
        <v>605</v>
      </c>
      <c r="D387" s="83">
        <v>10</v>
      </c>
      <c r="E387" s="72" t="s">
        <v>98</v>
      </c>
      <c r="F387" s="70" t="s">
        <v>85</v>
      </c>
      <c r="G387" s="149" t="s">
        <v>4</v>
      </c>
      <c r="H387" s="149" t="s">
        <v>330</v>
      </c>
      <c r="I387" s="70" t="s">
        <v>556</v>
      </c>
      <c r="J387" s="5">
        <v>2027</v>
      </c>
      <c r="K387" s="67">
        <v>66</v>
      </c>
      <c r="L387" s="68">
        <v>1</v>
      </c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>
        <f t="shared" si="10"/>
        <v>660</v>
      </c>
    </row>
    <row r="388" spans="1:48" ht="16" x14ac:dyDescent="0.35">
      <c r="A388" s="108" t="s">
        <v>70</v>
      </c>
      <c r="B388" s="72" t="s">
        <v>76</v>
      </c>
      <c r="C388" s="71" t="s">
        <v>609</v>
      </c>
      <c r="D388" s="83">
        <v>1</v>
      </c>
      <c r="E388" s="72" t="s">
        <v>79</v>
      </c>
      <c r="F388" s="70" t="s">
        <v>78</v>
      </c>
      <c r="G388" s="70" t="s">
        <v>4</v>
      </c>
      <c r="H388" s="70" t="s">
        <v>87</v>
      </c>
      <c r="I388" s="70" t="s">
        <v>151</v>
      </c>
      <c r="J388" s="5">
        <v>2026</v>
      </c>
      <c r="K388" s="67">
        <v>260</v>
      </c>
      <c r="L388" s="68">
        <v>1</v>
      </c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5"/>
      <c r="Z388" s="65"/>
      <c r="AA388" s="65">
        <v>260</v>
      </c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</row>
    <row r="389" spans="1:48" ht="16" x14ac:dyDescent="0.35">
      <c r="A389" s="108"/>
      <c r="B389" s="72"/>
      <c r="C389" s="71"/>
      <c r="D389" s="83"/>
      <c r="E389" s="72"/>
      <c r="F389" s="70"/>
      <c r="G389" s="70"/>
      <c r="H389" s="70"/>
      <c r="I389" s="70"/>
      <c r="J389" s="5"/>
      <c r="K389" s="67"/>
      <c r="L389" s="68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</row>
    <row r="390" spans="1:48" ht="16" x14ac:dyDescent="0.35">
      <c r="A390" s="108"/>
      <c r="B390" s="72"/>
      <c r="C390" s="71"/>
      <c r="D390" s="83"/>
      <c r="E390" s="72"/>
      <c r="F390" s="70"/>
      <c r="G390" s="70"/>
      <c r="H390" s="70"/>
      <c r="I390" s="70"/>
      <c r="J390" s="5"/>
      <c r="K390" s="67"/>
      <c r="L390" s="68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</row>
    <row r="391" spans="1:48" ht="16" x14ac:dyDescent="0.35">
      <c r="A391" s="108"/>
      <c r="B391" s="72"/>
      <c r="C391" s="71"/>
      <c r="D391" s="83"/>
      <c r="E391" s="72"/>
      <c r="F391" s="70"/>
      <c r="G391" s="70"/>
      <c r="H391" s="70"/>
      <c r="I391" s="70"/>
      <c r="J391" s="5"/>
      <c r="K391" s="67"/>
      <c r="L391" s="68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</row>
    <row r="392" spans="1:48" ht="16" x14ac:dyDescent="0.35">
      <c r="A392" s="108"/>
      <c r="B392" s="72"/>
      <c r="C392" s="71"/>
      <c r="D392" s="83"/>
      <c r="E392" s="72"/>
      <c r="F392" s="70"/>
      <c r="G392" s="70"/>
      <c r="H392" s="70"/>
      <c r="I392" s="70"/>
      <c r="J392" s="5"/>
      <c r="K392" s="67"/>
      <c r="L392" s="68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</row>
    <row r="393" spans="1:48" ht="16" x14ac:dyDescent="0.35">
      <c r="A393" s="108"/>
      <c r="B393" s="112"/>
      <c r="C393" s="113"/>
      <c r="D393" s="114"/>
      <c r="E393" s="112"/>
      <c r="F393" s="115"/>
      <c r="G393" s="115"/>
      <c r="H393" s="115"/>
      <c r="I393" s="115"/>
      <c r="J393" s="116"/>
      <c r="K393" s="117"/>
      <c r="L393" s="118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20"/>
      <c r="Y393" s="120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  <c r="AP393" s="120"/>
      <c r="AQ393" s="120"/>
      <c r="AR393" s="120"/>
      <c r="AS393" s="120"/>
      <c r="AT393" s="120"/>
      <c r="AU393" s="120"/>
      <c r="AV393" s="120"/>
    </row>
    <row r="395" spans="1:48" x14ac:dyDescent="0.35">
      <c r="X395" s="28"/>
    </row>
    <row r="396" spans="1:48" x14ac:dyDescent="0.35">
      <c r="X396" s="28"/>
    </row>
    <row r="397" spans="1:48" x14ac:dyDescent="0.35">
      <c r="C397" s="84"/>
      <c r="X397" s="28"/>
    </row>
    <row r="398" spans="1:48" x14ac:dyDescent="0.35">
      <c r="C398" s="84"/>
    </row>
    <row r="399" spans="1:48" x14ac:dyDescent="0.35">
      <c r="X399" s="28"/>
    </row>
    <row r="400" spans="1:48" x14ac:dyDescent="0.35">
      <c r="Y400" s="28"/>
      <c r="Z400" s="28"/>
    </row>
    <row r="401" spans="3:4" x14ac:dyDescent="0.35">
      <c r="C401" s="29"/>
    </row>
    <row r="407" spans="3:4" x14ac:dyDescent="0.35">
      <c r="D407" s="133"/>
    </row>
    <row r="1048170" spans="43:43" ht="24" thickBot="1" x14ac:dyDescent="0.4">
      <c r="AQ1048170" s="111"/>
    </row>
    <row r="1048171" spans="43:43" x14ac:dyDescent="0.35">
      <c r="AQ1048171" s="110"/>
    </row>
    <row r="1048172" spans="43:43" x14ac:dyDescent="0.35">
      <c r="AQ1048172" s="110"/>
    </row>
    <row r="1048173" spans="43:43" x14ac:dyDescent="0.35">
      <c r="AQ1048173" s="110"/>
    </row>
    <row r="1048174" spans="43:43" x14ac:dyDescent="0.35">
      <c r="AQ1048174" s="110"/>
    </row>
    <row r="1048175" spans="43:43" x14ac:dyDescent="0.35">
      <c r="AQ1048175" s="110"/>
    </row>
    <row r="1048176" spans="43:43" x14ac:dyDescent="0.35">
      <c r="AQ1048176" s="110"/>
    </row>
    <row r="1048177" spans="43:43" x14ac:dyDescent="0.35">
      <c r="AQ1048177" s="110"/>
    </row>
    <row r="1048178" spans="43:43" x14ac:dyDescent="0.35">
      <c r="AQ1048178" s="110"/>
    </row>
    <row r="1048179" spans="43:43" x14ac:dyDescent="0.35">
      <c r="AQ1048179" s="110"/>
    </row>
    <row r="1048180" spans="43:43" x14ac:dyDescent="0.35">
      <c r="AQ1048180" s="110"/>
    </row>
    <row r="1048181" spans="43:43" x14ac:dyDescent="0.35">
      <c r="AQ1048181" s="109"/>
    </row>
    <row r="1048182" spans="43:43" x14ac:dyDescent="0.35">
      <c r="AQ1048182" s="110"/>
    </row>
    <row r="1048183" spans="43:43" x14ac:dyDescent="0.35">
      <c r="AQ1048183" s="110"/>
    </row>
    <row r="1048184" spans="43:43" x14ac:dyDescent="0.35">
      <c r="AQ1048184" s="110"/>
    </row>
    <row r="1048185" spans="43:43" x14ac:dyDescent="0.35">
      <c r="AQ1048185" s="110"/>
    </row>
    <row r="1048186" spans="43:43" x14ac:dyDescent="0.35">
      <c r="AQ1048186" s="110"/>
    </row>
    <row r="1048187" spans="43:43" x14ac:dyDescent="0.35">
      <c r="AQ1048187" s="110"/>
    </row>
    <row r="1048188" spans="43:43" x14ac:dyDescent="0.35">
      <c r="AQ1048188" s="110"/>
    </row>
    <row r="1048189" spans="43:43" x14ac:dyDescent="0.35">
      <c r="AQ1048189" s="109"/>
    </row>
    <row r="1048190" spans="43:43" x14ac:dyDescent="0.35">
      <c r="AQ1048190" s="109"/>
    </row>
    <row r="1048191" spans="43:43" x14ac:dyDescent="0.35">
      <c r="AQ1048191" s="109"/>
    </row>
    <row r="1048192" spans="43:43" x14ac:dyDescent="0.35">
      <c r="AQ1048192" s="109"/>
    </row>
    <row r="1048193" spans="43:43" x14ac:dyDescent="0.35">
      <c r="AQ1048193" s="110"/>
    </row>
    <row r="1048194" spans="43:43" x14ac:dyDescent="0.35">
      <c r="AQ1048194" s="110"/>
    </row>
    <row r="1048195" spans="43:43" x14ac:dyDescent="0.35">
      <c r="AQ1048195" s="110"/>
    </row>
    <row r="1048196" spans="43:43" x14ac:dyDescent="0.35">
      <c r="AQ1048196" s="110"/>
    </row>
    <row r="1048197" spans="43:43" x14ac:dyDescent="0.35">
      <c r="AQ1048197" s="110"/>
    </row>
    <row r="1048198" spans="43:43" x14ac:dyDescent="0.35">
      <c r="AQ1048198" s="110"/>
    </row>
    <row r="1048199" spans="43:43" x14ac:dyDescent="0.35">
      <c r="AQ1048199" s="110"/>
    </row>
    <row r="1048200" spans="43:43" x14ac:dyDescent="0.35">
      <c r="AQ1048200" s="110"/>
    </row>
    <row r="1048201" spans="43:43" x14ac:dyDescent="0.35">
      <c r="AQ1048201" s="110"/>
    </row>
  </sheetData>
  <phoneticPr fontId="6" type="noConversion"/>
  <conditionalFormatting sqref="E2:E4">
    <cfRule type="containsText" dxfId="2" priority="28" operator="containsText" text="N/A">
      <formula>NOT(ISERROR(SEARCH("N/A",E2)))</formula>
    </cfRule>
  </conditionalFormatting>
  <conditionalFormatting sqref="M1:AV1">
    <cfRule type="expression" dxfId="1" priority="3">
      <formula>ISTEXT(#REF!)</formula>
    </cfRule>
  </conditionalFormatting>
  <conditionalFormatting sqref="AQ1048170">
    <cfRule type="expression" dxfId="0" priority="1">
      <formula>ISTEXT(#REF!)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52CDD06-8354-422B-8F88-41FF0A3BF5A8}">
          <x14:formula1>
            <xm:f>_xlfn.DROP(_xlfn._TRO_TRAILING('Legend, definitions &amp; instr'!$J:$J),120)</xm:f>
          </x14:formula1>
          <xm:sqref>B2:B1048576</xm:sqref>
        </x14:dataValidation>
        <x14:dataValidation type="list" allowBlank="1" showInputMessage="1" showErrorMessage="1" xr:uid="{1B4E08C1-05EF-4E34-971C-0539FF5D2E74}">
          <x14:formula1>
            <xm:f>_xlfn.DROP(_xlfn._TRO_TRAILING('Legend, definitions &amp; instr'!$H:$H),120)</xm:f>
          </x14:formula1>
          <xm:sqref>J2:J1048576</xm:sqref>
        </x14:dataValidation>
        <x14:dataValidation type="list" allowBlank="1" showInputMessage="1" showErrorMessage="1" xr:uid="{F559A879-5843-4C5B-80BA-622E606E08C0}">
          <x14:formula1>
            <xm:f>_xlfn.DROP(_xlfn._TRO_TRAILING('Legend, definitions &amp; instr'!$C:$C),120)</xm:f>
          </x14:formula1>
          <xm:sqref>A2:A1048576</xm:sqref>
        </x14:dataValidation>
        <x14:dataValidation type="list" allowBlank="1" showInputMessage="1" showErrorMessage="1" xr:uid="{254CB19A-C540-453A-8EF8-693FB7DE2E54}">
          <x14:formula1>
            <xm:f>_xlfn.DROP(_xlfn._TRO_TRAILING('Legend, definitions &amp; instr'!$E:$E),120)</xm:f>
          </x14:formula1>
          <xm:sqref>E2:E1048576</xm:sqref>
        </x14:dataValidation>
        <x14:dataValidation type="list" allowBlank="1" showInputMessage="1" showErrorMessage="1" xr:uid="{CA0DD866-C6B7-498C-8F61-3564D80AF114}">
          <x14:formula1>
            <xm:f>_xlfn.DROP(_xlfn._TRO_TRAILING('Legend, definitions &amp; instr'!$D:$D),120)</xm:f>
          </x14:formula1>
          <xm:sqref>F2:F1048576</xm:sqref>
        </x14:dataValidation>
        <x14:dataValidation type="list" allowBlank="1" showInputMessage="1" showErrorMessage="1" xr:uid="{E527E3B2-2CCA-460C-96B3-14986F888BE0}">
          <x14:formula1>
            <xm:f>_xlfn.DROP(_xlfn._TRO_TRAILING('Legend, definitions &amp; instr'!$B:$B),120)</xm:f>
          </x14:formula1>
          <xm:sqref>G2:G1048576</xm:sqref>
        </x14:dataValidation>
        <x14:dataValidation type="list" allowBlank="1" showInputMessage="1" showErrorMessage="1" xr:uid="{85401851-0ADC-4DB2-8EC7-13406735670A}">
          <x14:formula1>
            <xm:f>_xlfn.DROP(_xlfn._TRO_TRAILING('Legend, definitions &amp; instr'!$F:$F),120)</xm:f>
          </x14:formula1>
          <xm:sqref>H2:H1048576</xm:sqref>
        </x14:dataValidation>
        <x14:dataValidation type="list" allowBlank="1" showInputMessage="1" showErrorMessage="1" xr:uid="{148F4186-2581-4949-A7C8-3DDD7F2F17AC}">
          <x14:formula1>
            <xm:f>_xlfn.DROP(_xlfn._TRO_TRAILING('Legend, definitions &amp; instr'!$G:$G),120)</xm:f>
          </x14:formula1>
          <xm:sqref>I2:I1048576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7043-E05D-4916-8A7F-20BDBACD7F9F}">
  <sheetPr codeName="Sheet4">
    <pageSetUpPr fitToPage="1"/>
  </sheetPr>
  <dimension ref="A2:BL277"/>
  <sheetViews>
    <sheetView showGridLines="0" tabSelected="1" topLeftCell="AN14" zoomScale="70" zoomScaleNormal="70" zoomScaleSheetLayoutView="55" zoomScalePageLayoutView="145" workbookViewId="0">
      <selection activeCell="BE28" sqref="BE28"/>
    </sheetView>
  </sheetViews>
  <sheetFormatPr defaultRowHeight="14.5" outlineLevelCol="1" x14ac:dyDescent="0.35"/>
  <cols>
    <col min="1" max="1" width="20" customWidth="1" outlineLevel="1"/>
    <col min="2" max="2" width="28.453125" customWidth="1" outlineLevel="1"/>
    <col min="3" max="3" width="13.26953125" customWidth="1" outlineLevel="1"/>
    <col min="4" max="4" width="11.81640625" customWidth="1" outlineLevel="1"/>
    <col min="5" max="5" width="12.54296875" customWidth="1" outlineLevel="1"/>
    <col min="6" max="6" width="10.1796875" customWidth="1" outlineLevel="1"/>
    <col min="7" max="7" width="8.453125" customWidth="1" outlineLevel="1"/>
    <col min="8" max="8" width="8.26953125" customWidth="1" outlineLevel="1"/>
    <col min="9" max="9" width="9.1796875" customWidth="1" outlineLevel="1"/>
    <col min="10" max="10" width="8.1796875" customWidth="1" outlineLevel="1"/>
    <col min="11" max="11" width="11" customWidth="1" outlineLevel="1"/>
    <col min="12" max="12" width="14.54296875" customWidth="1" outlineLevel="1"/>
    <col min="13" max="13" width="12" customWidth="1" outlineLevel="1"/>
    <col min="14" max="14" width="13.7265625" customWidth="1" outlineLevel="1"/>
    <col min="15" max="15" width="13.81640625" customWidth="1" outlineLevel="1"/>
    <col min="16" max="16" width="9.54296875" customWidth="1" outlineLevel="1"/>
    <col min="17" max="17" width="10.54296875" customWidth="1" outlineLevel="1"/>
    <col min="18" max="18" width="8.54296875" customWidth="1" outlineLevel="1"/>
    <col min="19" max="19" width="7.1796875" customWidth="1" outlineLevel="1"/>
    <col min="20" max="20" width="6.81640625" customWidth="1" outlineLevel="1"/>
    <col min="21" max="21" width="7.1796875" customWidth="1" outlineLevel="1"/>
    <col min="22" max="22" width="6.54296875" customWidth="1" outlineLevel="1"/>
    <col min="23" max="23" width="9" customWidth="1" outlineLevel="1"/>
    <col min="24" max="24" width="12.26953125" customWidth="1" outlineLevel="1"/>
    <col min="25" max="25" width="10.1796875" customWidth="1" outlineLevel="1"/>
    <col min="26" max="26" width="11.7265625" customWidth="1" outlineLevel="1"/>
    <col min="27" max="39" width="11.81640625" customWidth="1" outlineLevel="1"/>
    <col min="40" max="40" width="8.54296875" customWidth="1"/>
    <col min="41" max="41" width="35.54296875" customWidth="1"/>
    <col min="42" max="42" width="10.453125" customWidth="1"/>
    <col min="43" max="43" width="11.81640625" customWidth="1"/>
    <col min="44" max="44" width="12.54296875" customWidth="1"/>
    <col min="45" max="46" width="10.453125" customWidth="1"/>
    <col min="47" max="47" width="10.1796875" bestFit="1" customWidth="1"/>
    <col min="48" max="49" width="10.453125" bestFit="1" customWidth="1"/>
    <col min="50" max="50" width="11" bestFit="1" customWidth="1"/>
    <col min="51" max="51" width="14.54296875" bestFit="1" customWidth="1"/>
    <col min="52" max="52" width="12" bestFit="1" customWidth="1"/>
    <col min="53" max="53" width="13.7265625" bestFit="1" customWidth="1"/>
    <col min="54" max="54" width="13.81640625" bestFit="1" customWidth="1"/>
    <col min="55" max="55" width="11.81640625" bestFit="1" customWidth="1"/>
    <col min="56" max="56" width="12.54296875" bestFit="1" customWidth="1"/>
    <col min="57" max="57" width="45.7265625" bestFit="1" customWidth="1"/>
    <col min="58" max="58" width="17.26953125" bestFit="1" customWidth="1"/>
    <col min="59" max="60" width="17" bestFit="1" customWidth="1"/>
    <col min="61" max="61" width="13.26953125" bestFit="1" customWidth="1"/>
    <col min="62" max="63" width="17.1796875" bestFit="1" customWidth="1"/>
    <col min="64" max="65" width="13.26953125" bestFit="1" customWidth="1"/>
    <col min="66" max="66" width="33.81640625" bestFit="1" customWidth="1"/>
    <col min="67" max="67" width="15.54296875" bestFit="1" customWidth="1"/>
    <col min="68" max="68" width="15.7265625" bestFit="1" customWidth="1"/>
    <col min="69" max="69" width="15.54296875" bestFit="1" customWidth="1"/>
    <col min="70" max="73" width="9.54296875" customWidth="1"/>
  </cols>
  <sheetData>
    <row r="2" spans="1:60" ht="15" thickBot="1" x14ac:dyDescent="0.4"/>
    <row r="3" spans="1:60" ht="19" thickBot="1" x14ac:dyDescent="0.4">
      <c r="BE3" s="59" t="s">
        <v>332</v>
      </c>
      <c r="BF3" s="60" t="s">
        <v>333</v>
      </c>
      <c r="BG3" s="61" t="s">
        <v>334</v>
      </c>
      <c r="BH3" s="61" t="s">
        <v>561</v>
      </c>
    </row>
    <row r="4" spans="1:60" ht="19" thickBot="1" x14ac:dyDescent="0.4">
      <c r="A4" s="236" t="s">
        <v>62</v>
      </c>
      <c r="B4" s="236" t="s">
        <v>69</v>
      </c>
      <c r="C4" s="238" t="s">
        <v>2</v>
      </c>
      <c r="D4" s="233" t="s">
        <v>335</v>
      </c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233" t="s">
        <v>336</v>
      </c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5"/>
      <c r="AB4" s="233" t="s">
        <v>550</v>
      </c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5"/>
      <c r="AN4" s="9"/>
      <c r="AO4" s="9"/>
      <c r="AP4" s="9"/>
      <c r="BE4" s="14" t="s">
        <v>337</v>
      </c>
      <c r="BF4" s="19">
        <f>SUM(AQ44:AT44)/1000</f>
        <v>82.966266666666669</v>
      </c>
      <c r="BG4" s="21">
        <f>SUM(AU44:AX44)/1000</f>
        <v>63.697600000000001</v>
      </c>
      <c r="BH4" s="21">
        <f>SUM(AY44:BB44)/1000</f>
        <v>38.2468</v>
      </c>
    </row>
    <row r="5" spans="1:60" ht="15" thickBot="1" x14ac:dyDescent="0.4">
      <c r="A5" s="237"/>
      <c r="B5" s="237"/>
      <c r="C5" s="239"/>
      <c r="D5" s="10" t="s">
        <v>124</v>
      </c>
      <c r="E5" s="6" t="s">
        <v>126</v>
      </c>
      <c r="F5" s="6" t="s">
        <v>128</v>
      </c>
      <c r="G5" s="6" t="s">
        <v>130</v>
      </c>
      <c r="H5" s="6" t="s">
        <v>132</v>
      </c>
      <c r="I5" s="6" t="s">
        <v>134</v>
      </c>
      <c r="J5" s="6" t="s">
        <v>136</v>
      </c>
      <c r="K5" s="6" t="s">
        <v>138</v>
      </c>
      <c r="L5" s="6" t="s">
        <v>140</v>
      </c>
      <c r="M5" s="6" t="s">
        <v>142</v>
      </c>
      <c r="N5" s="6" t="s">
        <v>144</v>
      </c>
      <c r="O5" s="11" t="s">
        <v>146</v>
      </c>
      <c r="P5" s="10" t="s">
        <v>148</v>
      </c>
      <c r="Q5" s="6" t="s">
        <v>149</v>
      </c>
      <c r="R5" s="6" t="s">
        <v>151</v>
      </c>
      <c r="S5" s="6" t="s">
        <v>153</v>
      </c>
      <c r="T5" s="6" t="s">
        <v>155</v>
      </c>
      <c r="U5" s="6" t="s">
        <v>157</v>
      </c>
      <c r="V5" s="6" t="s">
        <v>159</v>
      </c>
      <c r="W5" s="6" t="s">
        <v>161</v>
      </c>
      <c r="X5" s="6" t="s">
        <v>163</v>
      </c>
      <c r="Y5" s="6" t="s">
        <v>165</v>
      </c>
      <c r="Z5" s="6" t="s">
        <v>167</v>
      </c>
      <c r="AA5" s="11" t="s">
        <v>169</v>
      </c>
      <c r="AB5" s="10" t="s">
        <v>171</v>
      </c>
      <c r="AC5" s="6" t="s">
        <v>173</v>
      </c>
      <c r="AD5" s="6" t="s">
        <v>175</v>
      </c>
      <c r="AE5" s="6" t="s">
        <v>177</v>
      </c>
      <c r="AF5" s="6" t="s">
        <v>179</v>
      </c>
      <c r="AG5" s="6" t="s">
        <v>181</v>
      </c>
      <c r="AH5" s="6" t="s">
        <v>551</v>
      </c>
      <c r="AI5" s="6" t="s">
        <v>552</v>
      </c>
      <c r="AJ5" s="6" t="s">
        <v>553</v>
      </c>
      <c r="AK5" s="6" t="s">
        <v>554</v>
      </c>
      <c r="AL5" s="6" t="s">
        <v>555</v>
      </c>
      <c r="AM5" s="11" t="s">
        <v>556</v>
      </c>
      <c r="AN5" s="9"/>
      <c r="AO5" s="9"/>
      <c r="AP5" s="9"/>
      <c r="BE5" s="14" t="s">
        <v>338</v>
      </c>
      <c r="BF5" s="19">
        <f>SUM(AQ48:AT48)/1000</f>
        <v>0</v>
      </c>
      <c r="BG5" s="21">
        <f>SUM(AU48:AX48)/1000</f>
        <v>0</v>
      </c>
      <c r="BH5" s="21">
        <f>SUM(AY48:BB48)/1000</f>
        <v>0</v>
      </c>
    </row>
    <row r="6" spans="1:60" ht="15" thickBot="1" x14ac:dyDescent="0.4">
      <c r="A6" s="221" t="s">
        <v>70</v>
      </c>
      <c r="B6" s="227" t="s">
        <v>76</v>
      </c>
      <c r="C6" s="73" t="s">
        <v>4</v>
      </c>
      <c r="D6" s="104">
        <v>2129.6</v>
      </c>
      <c r="E6" s="104">
        <v>1777.6</v>
      </c>
      <c r="F6" s="104">
        <v>445.1</v>
      </c>
      <c r="G6" s="104">
        <v>251.5</v>
      </c>
      <c r="H6" s="104">
        <v>735.5</v>
      </c>
      <c r="I6" s="104" cm="1">
        <f t="array" ref="I6">SUMPRODUCT(('Projects Overview'!$B$2:$B$5021="H4 Connector")*('Projects Overview'!$G$2:$G$5021="Firm")*('Projects Overview'!R$2:R$5021))</f>
        <v>522.85714285714289</v>
      </c>
      <c r="J6" s="104" cm="1">
        <f t="array" ref="J6">SUMPRODUCT(('Projects Overview'!$B$2:$B$5021="H4 Connector")*('Projects Overview'!$G$2:$G$5021="Firm")*('Projects Overview'!S$2:S$5021))</f>
        <v>152</v>
      </c>
      <c r="K6" s="104" cm="1">
        <f t="array" ref="K6">SUMPRODUCT(('Projects Overview'!$B$2:$B$5021="H4 Connector")*('Projects Overview'!$G$2:$G$5021="Firm")*('Projects Overview'!T$2:T$5021))</f>
        <v>822.66666666666674</v>
      </c>
      <c r="L6" s="104" cm="1">
        <f t="array" ref="L6">SUMPRODUCT(('Projects Overview'!$B$2:$B$5021="H4 Connector")*('Projects Overview'!$G$2:$G$5021="Firm")*('Projects Overview'!U$2:U$5021))</f>
        <v>782.66666666666674</v>
      </c>
      <c r="M6" s="104" cm="1">
        <f t="array" ref="M6">SUMPRODUCT(('Projects Overview'!$B$2:$B$5021="H4 Connector")*('Projects Overview'!$G$2:$G$5021="Firm")*('Projects Overview'!V$2:V$5021))</f>
        <v>1341.6666666666667</v>
      </c>
      <c r="N6" s="104" cm="1">
        <f t="array" ref="N6">SUMPRODUCT(('Projects Overview'!$B$2:$B$5021="H4 Connector")*('Projects Overview'!$G$2:$G$5021="Firm")*('Projects Overview'!W$2:W$5021))</f>
        <v>1920.6666666666667</v>
      </c>
      <c r="O6" s="104" cm="1">
        <f t="array" ref="O6">SUMPRODUCT(('Projects Overview'!$B$2:$B$5021="H4 Connector")*('Projects Overview'!$G$2:$G$5021="Firm")*('Projects Overview'!X$2:X$5021))</f>
        <v>764</v>
      </c>
      <c r="P6" s="104" cm="1">
        <f t="array" ref="P6">SUMPRODUCT(('Projects Overview'!$B$2:$B$5021="H4 Connector")*('Projects Overview'!$G$2:$G$5021="Firm")*('Projects Overview'!Y$2:Y$5021))</f>
        <v>638</v>
      </c>
      <c r="Q6" s="104" cm="1">
        <f t="array" ref="Q6">SUMPRODUCT(('Projects Overview'!$B$2:$B$5021="H4 Connector")*('Projects Overview'!$G$2:$G$5021="Firm")*('Projects Overview'!Z$2:Z$5021))</f>
        <v>950</v>
      </c>
      <c r="R6" s="104" cm="1">
        <f t="array" ref="R6">SUMPRODUCT(('Projects Overview'!$B$2:$B$5021="H4 Connector")*('Projects Overview'!$G$2:$G$5021="Firm")*('Projects Overview'!AA$2:AA$5021))</f>
        <v>300</v>
      </c>
      <c r="S6" s="104" cm="1">
        <f t="array" ref="S6">SUMPRODUCT(('Projects Overview'!$B$2:$B$5021="H4 Connector")*('Projects Overview'!$G$2:$G$5021="Firm")*('Projects Overview'!AB$2:AB$5021))</f>
        <v>0</v>
      </c>
      <c r="T6" s="104" cm="1">
        <f t="array" ref="T6">SUMPRODUCT(('Projects Overview'!$B$2:$B$5021="H4 Connector")*('Projects Overview'!$G$2:$G$5021="Firm")*('Projects Overview'!AC$2:AC$5021))</f>
        <v>0</v>
      </c>
      <c r="U6" s="104" cm="1">
        <f t="array" ref="U6">SUMPRODUCT(('Projects Overview'!$B$2:$B$5021="H4 Connector")*('Projects Overview'!$G$2:$G$5021="Firm")*('Projects Overview'!AD$2:AD$5021))</f>
        <v>0</v>
      </c>
      <c r="V6" s="104" cm="1">
        <f t="array" ref="V6">SUMPRODUCT(('Projects Overview'!$B$2:$B$5021="H4 Connector")*('Projects Overview'!$G$2:$G$5021="Firm")*('Projects Overview'!AE$2:AE$5021))</f>
        <v>0</v>
      </c>
      <c r="W6" s="104" cm="1">
        <f t="array" ref="W6">SUMPRODUCT(('Projects Overview'!$B$2:$B$5021="H4 Connector")*('Projects Overview'!$G$2:$G$5021="Firm")*('Projects Overview'!AF$2:AF$5021))</f>
        <v>0</v>
      </c>
      <c r="X6" s="104" cm="1">
        <f t="array" ref="X6">SUMPRODUCT(('Projects Overview'!$B$2:$B$5021="H4 Connector")*('Projects Overview'!$G$2:$G$5021="Firm")*('Projects Overview'!AG$2:AG$5021))</f>
        <v>0</v>
      </c>
      <c r="Y6" s="104" cm="1">
        <f t="array" ref="Y6">SUMPRODUCT(('Projects Overview'!$B$2:$B$5021="H4 Connector")*('Projects Overview'!$G$2:$G$5021="Firm")*('Projects Overview'!AH$2:AH$5021))</f>
        <v>0</v>
      </c>
      <c r="Z6" s="104" cm="1">
        <f t="array" ref="Z6">SUMPRODUCT(('Projects Overview'!$B$2:$B$5021="H4 Connector")*('Projects Overview'!$G$2:$G$5021="Firm")*('Projects Overview'!AI$2:AI$5021))</f>
        <v>0</v>
      </c>
      <c r="AA6" s="104" cm="1">
        <f t="array" ref="AA6">SUMPRODUCT(('Projects Overview'!$B$2:$B$5021="H4 Connector")*('Projects Overview'!$G$2:$G$5021="Firm")*('Projects Overview'!AJ$2:AJ$5021))</f>
        <v>0</v>
      </c>
      <c r="AB6" s="104" cm="1">
        <f t="array" ref="AB6">SUMPRODUCT(('Projects Overview'!$B$2:$B$5021="H4 Connector")*('Projects Overview'!$G$2:$G$5021="Firm")*('Projects Overview'!AK$2:AK$5021))</f>
        <v>0</v>
      </c>
      <c r="AC6" s="104" cm="1">
        <f t="array" ref="AC6">SUMPRODUCT(('Projects Overview'!$B$2:$B$5021="H4 Connector")*('Projects Overview'!$G$2:$G$5021="Firm")*('Projects Overview'!AL$2:AL$5021))</f>
        <v>0</v>
      </c>
      <c r="AD6" s="104" cm="1">
        <f t="array" ref="AD6">SUMPRODUCT(('Projects Overview'!$B$2:$B$5021="H4 Connector")*('Projects Overview'!$G$2:$G$5021="Firm")*('Projects Overview'!AM$2:AM$5021))</f>
        <v>0</v>
      </c>
      <c r="AE6" s="104" cm="1">
        <f t="array" ref="AE6">SUMPRODUCT(('Projects Overview'!$B$2:$B$5021="H4 Connector")*('Projects Overview'!$G$2:$G$5021="Firm")*('Projects Overview'!AN$2:AN$5021))</f>
        <v>0</v>
      </c>
      <c r="AF6" s="104" cm="1">
        <f t="array" ref="AF6">SUMPRODUCT(('Projects Overview'!$B$2:$B$5021="H4 Connector")*('Projects Overview'!$G$2:$G$5021="Firm")*('Projects Overview'!AO$2:AO$5021))</f>
        <v>0</v>
      </c>
      <c r="AG6" s="104" cm="1">
        <f t="array" ref="AG6">SUMPRODUCT(('Projects Overview'!$B$2:$B$5021="H4 Connector")*('Projects Overview'!$G$2:$G$5021="Firm")*('Projects Overview'!AP$2:AP$5021))</f>
        <v>0</v>
      </c>
      <c r="AH6" s="104" cm="1">
        <f t="array" ref="AH6">SUMPRODUCT(('Projects Overview'!$B$2:$B$5021="H4 Connector")*('Projects Overview'!$G$2:$G$5021="Firm")*('Projects Overview'!AQ$2:AQ$5021))</f>
        <v>0</v>
      </c>
      <c r="AI6" s="104" cm="1">
        <f t="array" ref="AI6">SUMPRODUCT(('Projects Overview'!$B$2:$B$5021="H4 Connector")*('Projects Overview'!$G$2:$G$5021="Firm")*('Projects Overview'!AR$2:AR$5021))</f>
        <v>0</v>
      </c>
      <c r="AJ6" s="104" cm="1">
        <f t="array" ref="AJ6">SUMPRODUCT(('Projects Overview'!$B$2:$B$5021="H4 Connector")*('Projects Overview'!$G$2:$G$5021="Firm")*('Projects Overview'!AS$2:AS$5021))</f>
        <v>0</v>
      </c>
      <c r="AK6" s="104" cm="1">
        <f t="array" ref="AK6">SUMPRODUCT(('Projects Overview'!$B$2:$B$5021="H4 Connector")*('Projects Overview'!$G$2:$G$5021="Firm")*('Projects Overview'!AT$2:AT$5021))</f>
        <v>0</v>
      </c>
      <c r="AL6" s="104" cm="1">
        <f t="array" ref="AL6">SUMPRODUCT(('Projects Overview'!$B$2:$B$5021="H4 Connector")*('Projects Overview'!$G$2:$G$5021="Firm")*('Projects Overview'!AU$2:AU$5021))</f>
        <v>0</v>
      </c>
      <c r="AM6" s="104" cm="1">
        <f t="array" ref="AM6">SUMPRODUCT(('Projects Overview'!$B$2:$B$5021="H4 Connector")*('Projects Overview'!$G$2:$G$5021="Firm")*('Projects Overview'!AV$2:AV$5021))</f>
        <v>0</v>
      </c>
      <c r="AN6" s="9"/>
      <c r="AO6" s="9"/>
      <c r="AP6" s="9"/>
      <c r="BE6" s="14" t="s">
        <v>339</v>
      </c>
      <c r="BF6" s="19">
        <f>SUM(AQ52:AT52)/1000</f>
        <v>0</v>
      </c>
      <c r="BG6" s="21">
        <f>SUM(AU52:AX52)/1000</f>
        <v>19.302</v>
      </c>
      <c r="BH6" s="21">
        <f>SUM(AY52:BB52)/1000</f>
        <v>0</v>
      </c>
    </row>
    <row r="7" spans="1:60" ht="15" thickBot="1" x14ac:dyDescent="0.4">
      <c r="A7" s="222"/>
      <c r="B7" s="227"/>
      <c r="C7" s="74" t="s">
        <v>6</v>
      </c>
      <c r="D7" s="104">
        <v>0</v>
      </c>
      <c r="E7" s="104">
        <v>0</v>
      </c>
      <c r="F7" s="104">
        <v>0</v>
      </c>
      <c r="G7" s="104">
        <v>0</v>
      </c>
      <c r="H7" s="104">
        <v>0</v>
      </c>
      <c r="I7" s="104" cm="1">
        <f t="array" ref="I7">SUMPRODUCT(('Projects Overview'!$B$2:$B$5021="H4 Connector")*('Projects Overview'!$G$2:$G$5021="Risk Release")*('Projects Overview'!R$2:R$5021))</f>
        <v>0</v>
      </c>
      <c r="J7" s="104" cm="1">
        <f t="array" ref="J7">SUMPRODUCT(('Projects Overview'!$B$2:$B$5021="H4 Connector")*('Projects Overview'!$G$2:$G$5021="Risk Release")*('Projects Overview'!S$2:S$5021))</f>
        <v>0</v>
      </c>
      <c r="K7" s="104" cm="1">
        <f t="array" ref="K7">SUMPRODUCT(('Projects Overview'!$B$2:$B$5021="H4 Connector")*('Projects Overview'!$G$2:$G$5021="Risk Release")*('Projects Overview'!T$2:T$5021))</f>
        <v>0</v>
      </c>
      <c r="L7" s="104" cm="1">
        <f t="array" ref="L7">SUMPRODUCT(('Projects Overview'!$B$2:$B$5021="H4 Connector")*('Projects Overview'!$G$2:$G$5021="Risk Release")*('Projects Overview'!U$2:U$5021))</f>
        <v>0</v>
      </c>
      <c r="M7" s="104" cm="1">
        <f t="array" ref="M7">SUMPRODUCT(('Projects Overview'!$B$2:$B$5021="H4 Connector")*('Projects Overview'!$G$2:$G$5021="Risk Release")*('Projects Overview'!V$2:V$5021))</f>
        <v>0</v>
      </c>
      <c r="N7" s="104" cm="1">
        <f t="array" ref="N7">SUMPRODUCT(('Projects Overview'!$B$2:$B$5021="H4 Connector")*('Projects Overview'!$G$2:$G$5021="Risk Release")*('Projects Overview'!W$2:W$5021))</f>
        <v>0</v>
      </c>
      <c r="O7" s="104" cm="1">
        <f t="array" ref="O7">SUMPRODUCT(('Projects Overview'!$B$2:$B$5021="H4 Connector")*('Projects Overview'!$G$2:$G$5021="Risk Release")*('Projects Overview'!X$2:X$5021))</f>
        <v>0</v>
      </c>
      <c r="P7" s="104" cm="1">
        <f t="array" ref="P7">SUMPRODUCT(('Projects Overview'!$B$2:$B$5021="H4 Connector")*('Projects Overview'!$G$2:$G$5021="Risk Release")*('Projects Overview'!Y$2:Y$5021))</f>
        <v>0</v>
      </c>
      <c r="Q7" s="104" cm="1">
        <f t="array" ref="Q7">SUMPRODUCT(('Projects Overview'!$B$2:$B$5021="H4 Connector")*('Projects Overview'!$G$2:$G$5021="Risk Release")*('Projects Overview'!Z$2:Z$5021))</f>
        <v>0</v>
      </c>
      <c r="R7" s="104" cm="1">
        <f t="array" ref="R7">SUMPRODUCT(('Projects Overview'!$B$2:$B$5021="H4 Connector")*('Projects Overview'!$G$2:$G$5021="Risk Release")*('Projects Overview'!AA$2:AA$5021))</f>
        <v>0</v>
      </c>
      <c r="S7" s="104" cm="1">
        <f t="array" ref="S7">SUMPRODUCT(('Projects Overview'!$B$2:$B$5021="H4 Connector")*('Projects Overview'!$G$2:$G$5021="Risk Release")*('Projects Overview'!AB$2:AB$5021))</f>
        <v>0</v>
      </c>
      <c r="T7" s="104" cm="1">
        <f t="array" ref="T7">SUMPRODUCT(('Projects Overview'!$B$2:$B$5021="H4 Connector")*('Projects Overview'!$G$2:$G$5021="Risk Release")*('Projects Overview'!AC$2:AC$5021))</f>
        <v>0</v>
      </c>
      <c r="U7" s="104" cm="1">
        <f t="array" ref="U7">SUMPRODUCT(('Projects Overview'!$B$2:$B$5021="H4 Connector")*('Projects Overview'!$G$2:$G$5021="Risk Release")*('Projects Overview'!AD$2:AD$5021))</f>
        <v>0</v>
      </c>
      <c r="V7" s="104" cm="1">
        <f t="array" ref="V7">SUMPRODUCT(('Projects Overview'!$B$2:$B$5021="H4 Connector")*('Projects Overview'!$G$2:$G$5021="Risk Release")*('Projects Overview'!AE$2:AE$5021))</f>
        <v>0</v>
      </c>
      <c r="W7" s="104" cm="1">
        <f t="array" ref="W7">SUMPRODUCT(('Projects Overview'!$B$2:$B$5021="H4 Connector")*('Projects Overview'!$G$2:$G$5021="Risk Release")*('Projects Overview'!AF$2:AF$5021))</f>
        <v>0</v>
      </c>
      <c r="X7" s="104" cm="1">
        <f t="array" ref="X7">SUMPRODUCT(('Projects Overview'!$B$2:$B$5021="H4 Connector")*('Projects Overview'!$G$2:$G$5021="Risk Release")*('Projects Overview'!AG$2:AG$5021))</f>
        <v>0</v>
      </c>
      <c r="Y7" s="104" cm="1">
        <f t="array" ref="Y7">SUMPRODUCT(('Projects Overview'!$B$2:$B$5021="H4 Connector")*('Projects Overview'!$G$2:$G$5021="Risk Release")*('Projects Overview'!AH$2:AH$5021))</f>
        <v>0</v>
      </c>
      <c r="Z7" s="104" cm="1">
        <f t="array" ref="Z7">SUMPRODUCT(('Projects Overview'!$B$2:$B$5021="H4 Connector")*('Projects Overview'!$G$2:$G$5021="Risk Release")*('Projects Overview'!AI$2:AI$5021))</f>
        <v>0</v>
      </c>
      <c r="AA7" s="104" cm="1">
        <f t="array" ref="AA7">SUMPRODUCT(('Projects Overview'!$B$2:$B$5021="H4 Connector")*('Projects Overview'!$G$2:$G$5021="Risk Release")*('Projects Overview'!AJ$2:AJ$5021))</f>
        <v>0</v>
      </c>
      <c r="AB7" s="104" cm="1">
        <f t="array" ref="AB7">SUMPRODUCT(('Projects Overview'!$B$2:$B$5021="H4 Connector")*('Projects Overview'!$G$2:$G$5021="Risk Release")*('Projects Overview'!AK$2:AK$5021))</f>
        <v>0</v>
      </c>
      <c r="AC7" s="104" cm="1">
        <f t="array" ref="AC7">SUMPRODUCT(('Projects Overview'!$B$2:$B$5021="H4 Connector")*('Projects Overview'!$G$2:$G$5021="Risk Release")*('Projects Overview'!AL$2:AL$5021))</f>
        <v>0</v>
      </c>
      <c r="AD7" s="104" cm="1">
        <f t="array" ref="AD7">SUMPRODUCT(('Projects Overview'!$B$2:$B$5021="H4 Connector")*('Projects Overview'!$G$2:$G$5021="Risk Release")*('Projects Overview'!AM$2:AM$5021))</f>
        <v>0</v>
      </c>
      <c r="AE7" s="104" cm="1">
        <f t="array" ref="AE7">SUMPRODUCT(('Projects Overview'!$B$2:$B$5021="H4 Connector")*('Projects Overview'!$G$2:$G$5021="Risk Release")*('Projects Overview'!AN$2:AN$5021))</f>
        <v>0</v>
      </c>
      <c r="AF7" s="104" cm="1">
        <f t="array" ref="AF7">SUMPRODUCT(('Projects Overview'!$B$2:$B$5021="H4 Connector")*('Projects Overview'!$G$2:$G$5021="Risk Release")*('Projects Overview'!AO$2:AO$5021))</f>
        <v>0</v>
      </c>
      <c r="AG7" s="104" cm="1">
        <f t="array" ref="AG7">SUMPRODUCT(('Projects Overview'!$B$2:$B$5021="H4 Connector")*('Projects Overview'!$G$2:$G$5021="Risk Release")*('Projects Overview'!AP$2:AP$5021))</f>
        <v>0</v>
      </c>
      <c r="AH7" s="104" cm="1">
        <f t="array" ref="AH7">SUMPRODUCT(('Projects Overview'!$B$2:$B$5021="H4 Connector")*('Projects Overview'!$G$2:$G$5021="Risk Release")*('Projects Overview'!AQ$2:AQ$5021))</f>
        <v>0</v>
      </c>
      <c r="AI7" s="104" cm="1">
        <f t="array" ref="AI7">SUMPRODUCT(('Projects Overview'!$B$2:$B$5021="H4 Connector")*('Projects Overview'!$G$2:$G$5021="Risk Release")*('Projects Overview'!AR$2:AR$5021))</f>
        <v>0</v>
      </c>
      <c r="AJ7" s="104" cm="1">
        <f t="array" ref="AJ7">SUMPRODUCT(('Projects Overview'!$B$2:$B$5021="H4 Connector")*('Projects Overview'!$G$2:$G$5021="Risk Release")*('Projects Overview'!AS$2:AS$5021))</f>
        <v>0</v>
      </c>
      <c r="AK7" s="104" cm="1">
        <f t="array" ref="AK7">SUMPRODUCT(('Projects Overview'!$B$2:$B$5021="H4 Connector")*('Projects Overview'!$G$2:$G$5021="Risk Release")*('Projects Overview'!AT$2:AT$5021))</f>
        <v>0</v>
      </c>
      <c r="AL7" s="104" cm="1">
        <f t="array" ref="AL7">SUMPRODUCT(('Projects Overview'!$B$2:$B$5021="H4 Connector")*('Projects Overview'!$G$2:$G$5021="Risk Release")*('Projects Overview'!AU$2:AU$5021))</f>
        <v>0</v>
      </c>
      <c r="AM7" s="104" cm="1">
        <f t="array" ref="AM7">SUMPRODUCT(('Projects Overview'!$B$2:$B$5021="H4 Connector")*('Projects Overview'!$G$2:$G$5021="Risk Release")*('Projects Overview'!AV$2:AV$5021))</f>
        <v>0</v>
      </c>
      <c r="AN7" s="9"/>
      <c r="AO7" s="9"/>
      <c r="AP7" s="9"/>
      <c r="BE7" s="13" t="s">
        <v>340</v>
      </c>
      <c r="BF7" s="18">
        <f>SUM(BF4:BF6)</f>
        <v>82.966266666666669</v>
      </c>
      <c r="BG7" s="18">
        <f>SUM(BG4:BG6)</f>
        <v>82.999600000000001</v>
      </c>
      <c r="BH7" s="18">
        <f>SUM(BH4:BH6)</f>
        <v>38.2468</v>
      </c>
    </row>
    <row r="8" spans="1:60" x14ac:dyDescent="0.35">
      <c r="A8" s="222"/>
      <c r="B8" s="228"/>
      <c r="C8" s="75" t="s">
        <v>8</v>
      </c>
      <c r="D8" s="104">
        <v>0</v>
      </c>
      <c r="E8" s="104">
        <v>0</v>
      </c>
      <c r="F8" s="104">
        <v>0</v>
      </c>
      <c r="G8" s="104">
        <v>0</v>
      </c>
      <c r="H8" s="104">
        <v>0</v>
      </c>
      <c r="I8" s="104" cm="1">
        <f t="array" ref="I8">SUMPRODUCT(('Projects Overview'!$B$2:$B$5021="H4 Connector")*('Projects Overview'!$G$2:$G$5021="Forecast")*('Projects Overview'!R$2:R$5021))</f>
        <v>0</v>
      </c>
      <c r="J8" s="104" cm="1">
        <f t="array" ref="J8">SUMPRODUCT(('Projects Overview'!$B$2:$B$5021="H4 Connector")*('Projects Overview'!$G$2:$G$5021="Forecast")*('Projects Overview'!S$2:S$5021))</f>
        <v>0</v>
      </c>
      <c r="K8" s="104" cm="1">
        <f t="array" ref="K8">SUMPRODUCT(('Projects Overview'!$B$2:$B$5021="H4 Connector")*('Projects Overview'!$G$2:$G$5021="Forecast")*('Projects Overview'!T$2:T$5021))</f>
        <v>0</v>
      </c>
      <c r="L8" s="104" cm="1">
        <f t="array" ref="L8">SUMPRODUCT(('Projects Overview'!$B$2:$B$5021="H4 Connector")*('Projects Overview'!$G$2:$G$5021="Forecast")*('Projects Overview'!U$2:U$5021))</f>
        <v>0</v>
      </c>
      <c r="M8" s="104" cm="1">
        <f t="array" ref="M8">SUMPRODUCT(('Projects Overview'!$B$2:$B$5021="H4 Connector")*('Projects Overview'!$G$2:$G$5021="Forecast")*('Projects Overview'!V$2:V$5021))</f>
        <v>0</v>
      </c>
      <c r="N8" s="104" cm="1">
        <f t="array" ref="N8">SUMPRODUCT(('Projects Overview'!$B$2:$B$5021="H4 Connector")*('Projects Overview'!$G$2:$G$5021="Forecast")*('Projects Overview'!W$2:W$5021))</f>
        <v>0</v>
      </c>
      <c r="O8" s="104" cm="1">
        <f t="array" ref="O8">SUMPRODUCT(('Projects Overview'!$B$2:$B$5021="H4 Connector")*('Projects Overview'!$G$2:$G$5021="Forecast")*('Projects Overview'!X$2:X$5021))</f>
        <v>0</v>
      </c>
      <c r="P8" s="104" cm="1">
        <f t="array" ref="P8">SUMPRODUCT(('Projects Overview'!$B$2:$B$5021="H4 Connector")*('Projects Overview'!$G$2:$G$5021="Forecast")*('Projects Overview'!Y$2:Y$5021))</f>
        <v>0</v>
      </c>
      <c r="Q8" s="104" cm="1">
        <f t="array" ref="Q8">SUMPRODUCT(('Projects Overview'!$B$2:$B$5021="H4 Connector")*('Projects Overview'!$G$2:$G$5021="Forecast")*('Projects Overview'!Z$2:Z$5021))</f>
        <v>0</v>
      </c>
      <c r="R8" s="104" cm="1">
        <f t="array" ref="R8">SUMPRODUCT(('Projects Overview'!$B$2:$B$5021="H4 Connector")*('Projects Overview'!$G$2:$G$5021="Forecast")*('Projects Overview'!AA$2:AA$5021))</f>
        <v>1074.6666666666665</v>
      </c>
      <c r="S8" s="104" cm="1">
        <f t="array" ref="S8">SUMPRODUCT(('Projects Overview'!$B$2:$B$5021="H4 Connector")*('Projects Overview'!$G$2:$G$5021="Forecast")*('Projects Overview'!AB$2:AB$5021))</f>
        <v>778.66666666666663</v>
      </c>
      <c r="T8" s="104" cm="1">
        <f t="array" ref="T8">SUMPRODUCT(('Projects Overview'!$B$2:$B$5021="H4 Connector")*('Projects Overview'!$G$2:$G$5021="Forecast")*('Projects Overview'!AC$2:AC$5021))</f>
        <v>1168</v>
      </c>
      <c r="U8" s="104" cm="1">
        <f t="array" ref="U8">SUMPRODUCT(('Projects Overview'!$B$2:$B$5021="H4 Connector")*('Projects Overview'!$G$2:$G$5021="Forecast")*('Projects Overview'!AD$2:AD$5021))</f>
        <v>389.33333333333331</v>
      </c>
      <c r="V8" s="104" cm="1">
        <f t="array" ref="V8">SUMPRODUCT(('Projects Overview'!$B$2:$B$5021="H4 Connector")*('Projects Overview'!$G$2:$G$5021="Forecast")*('Projects Overview'!AE$2:AE$5021))</f>
        <v>778.66666666666663</v>
      </c>
      <c r="W8" s="104" cm="1">
        <f t="array" ref="W8">SUMPRODUCT(('Projects Overview'!$B$2:$B$5021="H4 Connector")*('Projects Overview'!$G$2:$G$5021="Forecast")*('Projects Overview'!AF$2:AF$5021))</f>
        <v>778.66666666666663</v>
      </c>
      <c r="X8" s="104" cm="1">
        <f t="array" ref="X8">SUMPRODUCT(('Projects Overview'!$B$2:$B$5021="H4 Connector")*('Projects Overview'!$G$2:$G$5021="Forecast")*('Projects Overview'!AG$2:AG$5021))</f>
        <v>778.66666666666663</v>
      </c>
      <c r="Y8" s="104" cm="1">
        <f t="array" ref="Y8">SUMPRODUCT(('Projects Overview'!$B$2:$B$5021="H4 Connector")*('Projects Overview'!$G$2:$G$5021="Forecast")*('Projects Overview'!AH$2:AH$5021))</f>
        <v>389.33333333333331</v>
      </c>
      <c r="Z8" s="104" cm="1">
        <f t="array" ref="Z8">SUMPRODUCT(('Projects Overview'!$B$2:$B$5021="H4 Connector")*('Projects Overview'!$G$2:$G$5021="Forecast")*('Projects Overview'!AI$2:AI$5021))</f>
        <v>0</v>
      </c>
      <c r="AA8" s="104" cm="1">
        <f t="array" ref="AA8">SUMPRODUCT(('Projects Overview'!$B$2:$B$5021="H4 Connector")*('Projects Overview'!$G$2:$G$5021="Forecast")*('Projects Overview'!AJ$2:AJ$5021))</f>
        <v>0</v>
      </c>
      <c r="AB8" s="104" cm="1">
        <f t="array" ref="AB8">SUMPRODUCT(('Projects Overview'!$B$2:$B$5021="H4 Connector")*('Projects Overview'!$G$2:$G$5021="Forecast")*('Projects Overview'!AK$2:AK$5021))</f>
        <v>500</v>
      </c>
      <c r="AC8" s="104" cm="1">
        <f t="array" ref="AC8">SUMPRODUCT(('Projects Overview'!$B$2:$B$5021="H4 Connector")*('Projects Overview'!$G$2:$G$5021="Forecast")*('Projects Overview'!AL$2:AL$5021))</f>
        <v>500</v>
      </c>
      <c r="AD8" s="104" cm="1">
        <f t="array" ref="AD8">SUMPRODUCT(('Projects Overview'!$B$2:$B$5021="H4 Connector")*('Projects Overview'!$G$2:$G$5021="Forecast")*('Projects Overview'!AM$2:AM$5021))</f>
        <v>500</v>
      </c>
      <c r="AE8" s="104" cm="1">
        <f t="array" ref="AE8">SUMPRODUCT(('Projects Overview'!$B$2:$B$5021="H4 Connector")*('Projects Overview'!$G$2:$G$5021="Forecast")*('Projects Overview'!AN$2:AN$5021))</f>
        <v>500</v>
      </c>
      <c r="AF8" s="104" cm="1">
        <f t="array" ref="AF8">SUMPRODUCT(('Projects Overview'!$B$2:$B$5021="H4 Connector")*('Projects Overview'!$G$2:$G$5021="Forecast")*('Projects Overview'!AO$2:AO$5021))</f>
        <v>500</v>
      </c>
      <c r="AG8" s="104" cm="1">
        <f t="array" ref="AG8">SUMPRODUCT(('Projects Overview'!$B$2:$B$5021="H4 Connector")*('Projects Overview'!$G$2:$G$5021="Forecast")*('Projects Overview'!AP$2:AP$5021))</f>
        <v>500</v>
      </c>
      <c r="AH8" s="104" cm="1">
        <f t="array" ref="AH8">SUMPRODUCT(('Projects Overview'!$B$2:$B$5021="H4 Connector")*('Projects Overview'!$G$2:$G$5021="Forecast")*('Projects Overview'!AQ$2:AQ$5021))</f>
        <v>0</v>
      </c>
      <c r="AI8" s="104" cm="1">
        <f t="array" ref="AI8">SUMPRODUCT(('Projects Overview'!$B$2:$B$5021="H4 Connector")*('Projects Overview'!$G$2:$G$5021="Forecast")*('Projects Overview'!AR$2:AR$5021))</f>
        <v>0</v>
      </c>
      <c r="AJ8" s="104" cm="1">
        <f t="array" ref="AJ8">SUMPRODUCT(('Projects Overview'!$B$2:$B$5021="H4 Connector")*('Projects Overview'!$G$2:$G$5021="Forecast")*('Projects Overview'!AS$2:AS$5021))</f>
        <v>0</v>
      </c>
      <c r="AK8" s="104" cm="1">
        <f t="array" ref="AK8">SUMPRODUCT(('Projects Overview'!$B$2:$B$5021="H4 Connector")*('Projects Overview'!$G$2:$G$5021="Forecast")*('Projects Overview'!AT$2:AT$5021))</f>
        <v>0</v>
      </c>
      <c r="AL8" s="104" cm="1">
        <f t="array" ref="AL8">SUMPRODUCT(('Projects Overview'!$B$2:$B$5021="H4 Connector")*('Projects Overview'!$G$2:$G$5021="Forecast")*('Projects Overview'!AU$2:AU$5021))</f>
        <v>0</v>
      </c>
      <c r="AM8" s="104" cm="1">
        <f t="array" ref="AM8">SUMPRODUCT(('Projects Overview'!$B$2:$B$5021="H4 Connector")*('Projects Overview'!$G$2:$G$5021="Forecast")*('Projects Overview'!AV$2:AV$5021))</f>
        <v>0</v>
      </c>
      <c r="AN8" s="9"/>
      <c r="AO8" s="9"/>
      <c r="AP8" s="9"/>
      <c r="BE8" s="14" t="s">
        <v>341</v>
      </c>
      <c r="BF8" s="19">
        <f>SUM(AQ46:AT46)/1000</f>
        <v>23.927595238095236</v>
      </c>
      <c r="BG8" s="21">
        <f>SUM(AU46:AX46)/1000</f>
        <v>3.8540000000000001</v>
      </c>
      <c r="BH8" s="21">
        <f>SUM(AY46:BB46)/1000</f>
        <v>0</v>
      </c>
    </row>
    <row r="9" spans="1:60" x14ac:dyDescent="0.35">
      <c r="A9" s="222"/>
      <c r="B9" s="232" t="s">
        <v>83</v>
      </c>
      <c r="C9" s="1" t="s">
        <v>4</v>
      </c>
      <c r="D9" s="104">
        <v>211.2</v>
      </c>
      <c r="E9" s="104">
        <v>821.86666666666679</v>
      </c>
      <c r="F9" s="104">
        <v>973.86666666666679</v>
      </c>
      <c r="G9" s="104">
        <v>762.66666666666674</v>
      </c>
      <c r="H9" s="104">
        <v>352</v>
      </c>
      <c r="I9" s="104" cm="1">
        <f t="array" ref="I9">SUMPRODUCT(('Projects Overview'!$B$2:$B$5021="Bonnet")*('Projects Overview'!$G$2:$G$5021="Firm")*('Projects Overview'!R$2:R$5021))</f>
        <v>544</v>
      </c>
      <c r="J9" s="104" cm="1">
        <f t="array" ref="J9">SUMPRODUCT(('Projects Overview'!$B$2:$B$5021="Bonnet")*('Projects Overview'!$G$2:$G$5021="Firm")*('Projects Overview'!S$2:S$5021))</f>
        <v>400</v>
      </c>
      <c r="K9" s="104" cm="1">
        <f t="array" ref="K9">SUMPRODUCT(('Projects Overview'!$B$2:$B$5021="Bonnet")*('Projects Overview'!$G$2:$G$5021="Firm")*('Projects Overview'!T$2:T$5021))</f>
        <v>400</v>
      </c>
      <c r="L9" s="104" cm="1">
        <f t="array" ref="L9">SUMPRODUCT(('Projects Overview'!$B$2:$B$5021="Bonnet")*('Projects Overview'!$G$2:$G$5021="Firm")*('Projects Overview'!U$2:U$5021))</f>
        <v>522</v>
      </c>
      <c r="M9" s="104" cm="1">
        <f t="array" ref="M9">SUMPRODUCT(('Projects Overview'!$B$2:$B$5021="Bonnet")*('Projects Overview'!$G$2:$G$5021="Firm")*('Projects Overview'!V$2:V$5021))</f>
        <v>668</v>
      </c>
      <c r="N9" s="104" cm="1">
        <f t="array" ref="N9">SUMPRODUCT(('Projects Overview'!$B$2:$B$5021="Bonnet")*('Projects Overview'!$G$2:$G$5021="Firm")*('Projects Overview'!W$2:W$5021))</f>
        <v>600</v>
      </c>
      <c r="O9" s="104" cm="1">
        <f t="array" ref="O9">SUMPRODUCT(('Projects Overview'!$B$2:$B$5021="Bonnet")*('Projects Overview'!$G$2:$G$5021="Firm")*('Projects Overview'!X$2:X$5021))</f>
        <v>300</v>
      </c>
      <c r="P9" s="104" cm="1">
        <f t="array" ref="P9">SUMPRODUCT(('Projects Overview'!$B$2:$B$5021="Bonnet")*('Projects Overview'!$G$2:$G$5021="Firm")*('Projects Overview'!Y$2:Y$5021))</f>
        <v>120</v>
      </c>
      <c r="Q9" s="104" cm="1">
        <f t="array" ref="Q9">SUMPRODUCT(('Projects Overview'!$B$2:$B$5021="Bonnet")*('Projects Overview'!$G$2:$G$5021="Firm")*('Projects Overview'!Z$2:Z$5021))</f>
        <v>30</v>
      </c>
      <c r="R9" s="104" cm="1">
        <f t="array" ref="R9">SUMPRODUCT(('Projects Overview'!$B$2:$B$5021="Bonnet")*('Projects Overview'!$G$2:$G$5021="Firm")*('Projects Overview'!AA$2:AA$5021))</f>
        <v>202</v>
      </c>
      <c r="S9" s="104" cm="1">
        <f t="array" ref="S9">SUMPRODUCT(('Projects Overview'!$B$2:$B$5021="Bonnet")*('Projects Overview'!$G$2:$G$5021="Firm")*('Projects Overview'!AB$2:AB$5021))</f>
        <v>0</v>
      </c>
      <c r="T9" s="104" cm="1">
        <f t="array" ref="T9">SUMPRODUCT(('Projects Overview'!$B$2:$B$5021="Bonnet")*('Projects Overview'!$G$2:$G$5021="Firm")*('Projects Overview'!AC$2:AC$5021))</f>
        <v>0</v>
      </c>
      <c r="U9" s="104" cm="1">
        <f t="array" ref="U9">SUMPRODUCT(('Projects Overview'!$B$2:$B$5021="Bonnet")*('Projects Overview'!$G$2:$G$5021="Firm")*('Projects Overview'!AD$2:AD$5021))</f>
        <v>0</v>
      </c>
      <c r="V9" s="104" cm="1">
        <f t="array" ref="V9">SUMPRODUCT(('Projects Overview'!$B$2:$B$5021="Bonnet")*('Projects Overview'!$G$2:$G$5021="Firm")*('Projects Overview'!AE$2:AE$5021))</f>
        <v>0</v>
      </c>
      <c r="W9" s="104" cm="1">
        <f t="array" ref="W9">SUMPRODUCT(('Projects Overview'!$B$2:$B$5021="Bonnet")*('Projects Overview'!$G$2:$G$5021="Firm")*('Projects Overview'!AF$2:AF$5021))</f>
        <v>0</v>
      </c>
      <c r="X9" s="104" cm="1">
        <f t="array" ref="X9">SUMPRODUCT(('Projects Overview'!$B$2:$B$5021="Bonnet")*('Projects Overview'!$G$2:$G$5021="Firm")*('Projects Overview'!AG$2:AG$5021))</f>
        <v>0</v>
      </c>
      <c r="Y9" s="104" cm="1">
        <f t="array" ref="Y9">SUMPRODUCT(('Projects Overview'!$B$2:$B$5021="Bonnet")*('Projects Overview'!$G$2:$G$5021="Firm")*('Projects Overview'!AH$2:AH$5021))</f>
        <v>0</v>
      </c>
      <c r="Z9" s="104" cm="1">
        <f t="array" ref="Z9">SUMPRODUCT(('Projects Overview'!$B$2:$B$5021="Bonnet")*('Projects Overview'!$G$2:$G$5021="Firm")*('Projects Overview'!AI$2:AI$5021))</f>
        <v>0</v>
      </c>
      <c r="AA9" s="104" cm="1">
        <f t="array" ref="AA9">SUMPRODUCT(('Projects Overview'!$B$2:$B$5021="Bonnet")*('Projects Overview'!$G$2:$G$5021="Firm")*('Projects Overview'!AJ$2:AJ$5021))</f>
        <v>0</v>
      </c>
      <c r="AB9" s="104" cm="1">
        <f t="array" ref="AB9">SUMPRODUCT(('Projects Overview'!$B$2:$B$5021="Bonnet")*('Projects Overview'!$G$2:$G$5021="Firm")*('Projects Overview'!AK$2:AK$5021))</f>
        <v>0</v>
      </c>
      <c r="AC9" s="104" cm="1">
        <f t="array" ref="AC9">SUMPRODUCT(('Projects Overview'!$B$2:$B$5021="Bonnet")*('Projects Overview'!$G$2:$G$5021="Firm")*('Projects Overview'!AL$2:AL$5021))</f>
        <v>0</v>
      </c>
      <c r="AD9" s="104" cm="1">
        <f t="array" ref="AD9">SUMPRODUCT(('Projects Overview'!$B$2:$B$5021="Bonnet")*('Projects Overview'!$G$2:$G$5021="Firm")*('Projects Overview'!AM$2:AM$5021))</f>
        <v>0</v>
      </c>
      <c r="AE9" s="104" cm="1">
        <f t="array" ref="AE9">SUMPRODUCT(('Projects Overview'!$B$2:$B$5021="Bonnet")*('Projects Overview'!$G$2:$G$5021="Firm")*('Projects Overview'!AN$2:AN$5021))</f>
        <v>0</v>
      </c>
      <c r="AF9" s="104" cm="1">
        <f t="array" ref="AF9">SUMPRODUCT(('Projects Overview'!$B$2:$B$5021="Bonnet")*('Projects Overview'!$G$2:$G$5021="Firm")*('Projects Overview'!AO$2:AO$5021))</f>
        <v>0</v>
      </c>
      <c r="AG9" s="104" cm="1">
        <f t="array" ref="AG9">SUMPRODUCT(('Projects Overview'!$B$2:$B$5021="Bonnet")*('Projects Overview'!$G$2:$G$5021="Firm")*('Projects Overview'!AP$2:AP$5021))</f>
        <v>0</v>
      </c>
      <c r="AH9" s="104" cm="1">
        <f t="array" ref="AH9">SUMPRODUCT(('Projects Overview'!$B$2:$B$5021="Bonnet")*('Projects Overview'!$G$2:$G$5021="Firm")*('Projects Overview'!AQ$2:AQ$5021))</f>
        <v>0</v>
      </c>
      <c r="AI9" s="104" cm="1">
        <f t="array" ref="AI9">SUMPRODUCT(('Projects Overview'!$B$2:$B$5021="Bonnet")*('Projects Overview'!$G$2:$G$5021="Firm")*('Projects Overview'!AR$2:AR$5021))</f>
        <v>0</v>
      </c>
      <c r="AJ9" s="104" cm="1">
        <f t="array" ref="AJ9">SUMPRODUCT(('Projects Overview'!$B$2:$B$5021="Bonnet")*('Projects Overview'!$G$2:$G$5021="Firm")*('Projects Overview'!AS$2:AS$5021))</f>
        <v>0</v>
      </c>
      <c r="AK9" s="104" cm="1">
        <f t="array" ref="AK9">SUMPRODUCT(('Projects Overview'!$B$2:$B$5021="Bonnet")*('Projects Overview'!$G$2:$G$5021="Firm")*('Projects Overview'!AT$2:AT$5021))</f>
        <v>0</v>
      </c>
      <c r="AL9" s="104" cm="1">
        <f t="array" ref="AL9">SUMPRODUCT(('Projects Overview'!$B$2:$B$5021="Bonnet")*('Projects Overview'!$G$2:$G$5021="Firm")*('Projects Overview'!AU$2:AU$5021))</f>
        <v>0</v>
      </c>
      <c r="AM9" s="104" cm="1">
        <f t="array" ref="AM9">SUMPRODUCT(('Projects Overview'!$B$2:$B$5021="Bonnet")*('Projects Overview'!$G$2:$G$5021="Firm")*('Projects Overview'!AV$2:AV$5021))</f>
        <v>0</v>
      </c>
      <c r="AN9" s="9"/>
      <c r="AO9" s="9"/>
      <c r="AP9" s="9"/>
      <c r="BE9" s="14" t="s">
        <v>342</v>
      </c>
      <c r="BF9" s="19">
        <f>SUM(AQ50:AT50)/1000</f>
        <v>0</v>
      </c>
      <c r="BG9" s="21">
        <f>SUM(AU50:AX50)/1000</f>
        <v>0</v>
      </c>
      <c r="BH9" s="21">
        <f>SUM(AY50:BB50)/1000</f>
        <v>0</v>
      </c>
    </row>
    <row r="10" spans="1:60" ht="15" thickBot="1" x14ac:dyDescent="0.4">
      <c r="A10" s="222"/>
      <c r="B10" s="227"/>
      <c r="C10" s="2" t="s">
        <v>6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  <c r="I10" s="104" cm="1">
        <f t="array" ref="I10">SUMPRODUCT(('Projects Overview'!$B$2:$B$5021="Bonnet")*('Projects Overview'!$G$2:$G$5021="Risk Release")*('Projects Overview'!R$2:R$5021))</f>
        <v>0</v>
      </c>
      <c r="J10" s="104" cm="1">
        <f t="array" ref="J10">SUMPRODUCT(('Projects Overview'!$B$2:$B$5021="Bonnet")*('Projects Overview'!$G$2:$G$5021="Risk Release")*('Projects Overview'!S$2:S$5021))</f>
        <v>0</v>
      </c>
      <c r="K10" s="104" cm="1">
        <f t="array" ref="K10">SUMPRODUCT(('Projects Overview'!$B$2:$B$5021="Bonnet")*('Projects Overview'!$G$2:$G$5021="Risk Release")*('Projects Overview'!T$2:T$5021))</f>
        <v>0</v>
      </c>
      <c r="L10" s="104" cm="1">
        <f t="array" ref="L10">SUMPRODUCT(('Projects Overview'!$B$2:$B$5021="Bonnet")*('Projects Overview'!$G$2:$G$5021="Risk Release")*('Projects Overview'!U$2:U$5021))</f>
        <v>0</v>
      </c>
      <c r="M10" s="104" cm="1">
        <f t="array" ref="M10">SUMPRODUCT(('Projects Overview'!$B$2:$B$5021="Bonnet")*('Projects Overview'!$G$2:$G$5021="Risk Release")*('Projects Overview'!V$2:V$5021))</f>
        <v>0</v>
      </c>
      <c r="N10" s="104" cm="1">
        <f t="array" ref="N10">SUMPRODUCT(('Projects Overview'!$B$2:$B$5021="Bonnet")*('Projects Overview'!$G$2:$G$5021="Risk Release")*('Projects Overview'!W$2:W$5021))</f>
        <v>0</v>
      </c>
      <c r="O10" s="104" cm="1">
        <f t="array" ref="O10">SUMPRODUCT(('Projects Overview'!$B$2:$B$5021="Bonnet")*('Projects Overview'!$G$2:$G$5021="Risk Release")*('Projects Overview'!X$2:X$5021))</f>
        <v>0</v>
      </c>
      <c r="P10" s="104" cm="1">
        <f t="array" ref="P10">SUMPRODUCT(('Projects Overview'!$B$2:$B$5021="Bonnet")*('Projects Overview'!$G$2:$G$5021="Risk Release")*('Projects Overview'!Y$2:Y$5021))</f>
        <v>0</v>
      </c>
      <c r="Q10" s="104" cm="1">
        <f t="array" ref="Q10">SUMPRODUCT(('Projects Overview'!$B$2:$B$5021="Bonnet")*('Projects Overview'!$G$2:$G$5021="Risk Release")*('Projects Overview'!Z$2:Z$5021))</f>
        <v>0</v>
      </c>
      <c r="R10" s="104" cm="1">
        <f t="array" ref="R10">SUMPRODUCT(('Projects Overview'!$B$2:$B$5021="Bonnet")*('Projects Overview'!$G$2:$G$5021="Risk Release")*('Projects Overview'!AA$2:AA$5021))</f>
        <v>0</v>
      </c>
      <c r="S10" s="104" cm="1">
        <f t="array" ref="S10">SUMPRODUCT(('Projects Overview'!$B$2:$B$5021="Bonnet")*('Projects Overview'!$G$2:$G$5021="Risk Release")*('Projects Overview'!AB$2:AB$5021))</f>
        <v>0</v>
      </c>
      <c r="T10" s="104" cm="1">
        <f t="array" ref="T10">SUMPRODUCT(('Projects Overview'!$B$2:$B$5021="Bonnet")*('Projects Overview'!$G$2:$G$5021="Risk Release")*('Projects Overview'!AC$2:AC$5021))</f>
        <v>0</v>
      </c>
      <c r="U10" s="104" cm="1">
        <f t="array" ref="U10">SUMPRODUCT(('Projects Overview'!$B$2:$B$5021="Bonnet")*('Projects Overview'!$G$2:$G$5021="Risk Release")*('Projects Overview'!AD$2:AD$5021))</f>
        <v>0</v>
      </c>
      <c r="V10" s="104" cm="1">
        <f t="array" ref="V10">SUMPRODUCT(('Projects Overview'!$B$2:$B$5021="Bonnet")*('Projects Overview'!$G$2:$G$5021="Risk Release")*('Projects Overview'!AE$2:AE$5021))</f>
        <v>0</v>
      </c>
      <c r="W10" s="104" cm="1">
        <f t="array" ref="W10">SUMPRODUCT(('Projects Overview'!$B$2:$B$5021="Bonnet")*('Projects Overview'!$G$2:$G$5021="Risk Release")*('Projects Overview'!AF$2:AF$5021))</f>
        <v>0</v>
      </c>
      <c r="X10" s="104" cm="1">
        <f t="array" ref="X10">SUMPRODUCT(('Projects Overview'!$B$2:$B$5021="Bonnet")*('Projects Overview'!$G$2:$G$5021="Risk Release")*('Projects Overview'!AG$2:AG$5021))</f>
        <v>0</v>
      </c>
      <c r="Y10" s="104" cm="1">
        <f t="array" ref="Y10">SUMPRODUCT(('Projects Overview'!$B$2:$B$5021="Bonnet")*('Projects Overview'!$G$2:$G$5021="Risk Release")*('Projects Overview'!AH$2:AH$5021))</f>
        <v>0</v>
      </c>
      <c r="Z10" s="104" cm="1">
        <f t="array" ref="Z10">SUMPRODUCT(('Projects Overview'!$B$2:$B$5021="Bonnet")*('Projects Overview'!$G$2:$G$5021="Risk Release")*('Projects Overview'!AI$2:AI$5021))</f>
        <v>0</v>
      </c>
      <c r="AA10" s="104" cm="1">
        <f t="array" ref="AA10">SUMPRODUCT(('Projects Overview'!$B$2:$B$5021="Bonnet")*('Projects Overview'!$G$2:$G$5021="Risk Release")*('Projects Overview'!AJ$2:AJ$5021))</f>
        <v>0</v>
      </c>
      <c r="AB10" s="104" cm="1">
        <f t="array" ref="AB10">SUMPRODUCT(('Projects Overview'!$B$2:$B$5021="Bonnet")*('Projects Overview'!$G$2:$G$5021="Risk Release")*('Projects Overview'!AK$2:AK$5021))</f>
        <v>0</v>
      </c>
      <c r="AC10" s="104" cm="1">
        <f t="array" ref="AC10">SUMPRODUCT(('Projects Overview'!$B$2:$B$5021="Bonnet")*('Projects Overview'!$G$2:$G$5021="Risk Release")*('Projects Overview'!AL$2:AL$5021))</f>
        <v>0</v>
      </c>
      <c r="AD10" s="104" cm="1">
        <f t="array" ref="AD10">SUMPRODUCT(('Projects Overview'!$B$2:$B$5021="Bonnet")*('Projects Overview'!$G$2:$G$5021="Risk Release")*('Projects Overview'!AM$2:AM$5021))</f>
        <v>0</v>
      </c>
      <c r="AE10" s="104" cm="1">
        <f t="array" ref="AE10">SUMPRODUCT(('Projects Overview'!$B$2:$B$5021="Bonnet")*('Projects Overview'!$G$2:$G$5021="Risk Release")*('Projects Overview'!AN$2:AN$5021))</f>
        <v>0</v>
      </c>
      <c r="AF10" s="104" cm="1">
        <f t="array" ref="AF10">SUMPRODUCT(('Projects Overview'!$B$2:$B$5021="Bonnet")*('Projects Overview'!$G$2:$G$5021="Risk Release")*('Projects Overview'!AO$2:AO$5021))</f>
        <v>0</v>
      </c>
      <c r="AG10" s="104" cm="1">
        <f t="array" ref="AG10">SUMPRODUCT(('Projects Overview'!$B$2:$B$5021="Bonnet")*('Projects Overview'!$G$2:$G$5021="Risk Release")*('Projects Overview'!AP$2:AP$5021))</f>
        <v>0</v>
      </c>
      <c r="AH10" s="104" cm="1">
        <f t="array" ref="AH10">SUMPRODUCT(('Projects Overview'!$B$2:$B$5021="Bonnet")*('Projects Overview'!$G$2:$G$5021="Risk Release")*('Projects Overview'!AQ$2:AQ$5021))</f>
        <v>0</v>
      </c>
      <c r="AI10" s="104" cm="1">
        <f t="array" ref="AI10">SUMPRODUCT(('Projects Overview'!$B$2:$B$5021="Bonnet")*('Projects Overview'!$G$2:$G$5021="Risk Release")*('Projects Overview'!AR$2:AR$5021))</f>
        <v>0</v>
      </c>
      <c r="AJ10" s="104" cm="1">
        <f t="array" ref="AJ10">SUMPRODUCT(('Projects Overview'!$B$2:$B$5021="Bonnet")*('Projects Overview'!$G$2:$G$5021="Risk Release")*('Projects Overview'!AS$2:AS$5021))</f>
        <v>0</v>
      </c>
      <c r="AK10" s="104" cm="1">
        <f t="array" ref="AK10">SUMPRODUCT(('Projects Overview'!$B$2:$B$5021="Bonnet")*('Projects Overview'!$G$2:$G$5021="Risk Release")*('Projects Overview'!AT$2:AT$5021))</f>
        <v>0</v>
      </c>
      <c r="AL10" s="104" cm="1">
        <f t="array" ref="AL10">SUMPRODUCT(('Projects Overview'!$B$2:$B$5021="Bonnet")*('Projects Overview'!$G$2:$G$5021="Risk Release")*('Projects Overview'!AU$2:AU$5021))</f>
        <v>0</v>
      </c>
      <c r="AM10" s="104" cm="1">
        <f t="array" ref="AM10">SUMPRODUCT(('Projects Overview'!$B$2:$B$5021="Bonnet")*('Projects Overview'!$G$2:$G$5021="Risk Release")*('Projects Overview'!AV$2:AV$5021))</f>
        <v>0</v>
      </c>
      <c r="AN10" s="9"/>
      <c r="AO10" s="9"/>
      <c r="AP10" s="9"/>
      <c r="BE10" s="14" t="s">
        <v>343</v>
      </c>
      <c r="BF10" s="19">
        <f>SUM(AQ54:AT54)/1000</f>
        <v>0</v>
      </c>
      <c r="BG10" s="21">
        <f>SUM(AU54:AX54)/1000</f>
        <v>13.683999999999999</v>
      </c>
      <c r="BH10" s="21">
        <f>SUM(AY54:BB54)/1000</f>
        <v>1.9166666666666665</v>
      </c>
    </row>
    <row r="11" spans="1:60" ht="15" thickBot="1" x14ac:dyDescent="0.4">
      <c r="A11" s="222"/>
      <c r="B11" s="228"/>
      <c r="C11" s="3" t="s">
        <v>8</v>
      </c>
      <c r="D11" s="104">
        <v>0</v>
      </c>
      <c r="E11" s="104">
        <v>0</v>
      </c>
      <c r="F11" s="104">
        <v>0</v>
      </c>
      <c r="G11" s="104">
        <v>0</v>
      </c>
      <c r="H11" s="104">
        <v>0</v>
      </c>
      <c r="I11" s="104" cm="1">
        <f t="array" ref="I11">SUMPRODUCT(('Projects Overview'!$B$2:$B$5021="Bonnet")*('Projects Overview'!$G$2:$G$5021="Forecast")*('Projects Overview'!R$2:R$5021))</f>
        <v>0</v>
      </c>
      <c r="J11" s="104" cm="1">
        <f t="array" ref="J11">SUMPRODUCT(('Projects Overview'!$B$2:$B$5021="Bonnet")*('Projects Overview'!$G$2:$G$5021="Forecast")*('Projects Overview'!S$2:S$5021))</f>
        <v>0</v>
      </c>
      <c r="K11" s="104" cm="1">
        <f t="array" ref="K11">SUMPRODUCT(('Projects Overview'!$B$2:$B$5021="Bonnet")*('Projects Overview'!$G$2:$G$5021="Forecast")*('Projects Overview'!T$2:T$5021))</f>
        <v>0</v>
      </c>
      <c r="L11" s="104" cm="1">
        <f t="array" ref="L11">SUMPRODUCT(('Projects Overview'!$B$2:$B$5021="Bonnet")*('Projects Overview'!$G$2:$G$5021="Forecast")*('Projects Overview'!U$2:U$5021))</f>
        <v>0</v>
      </c>
      <c r="M11" s="104" cm="1">
        <f t="array" ref="M11">SUMPRODUCT(('Projects Overview'!$B$2:$B$5021="Bonnet")*('Projects Overview'!$G$2:$G$5021="Forecast")*('Projects Overview'!V$2:V$5021))</f>
        <v>0</v>
      </c>
      <c r="N11" s="104" cm="1">
        <f t="array" ref="N11">SUMPRODUCT(('Projects Overview'!$B$2:$B$5021="Bonnet")*('Projects Overview'!$G$2:$G$5021="Forecast")*('Projects Overview'!W$2:W$5021))</f>
        <v>0</v>
      </c>
      <c r="O11" s="104" cm="1">
        <f t="array" ref="O11">SUMPRODUCT(('Projects Overview'!$B$2:$B$5021="Bonnet")*('Projects Overview'!$G$2:$G$5021="Forecast")*('Projects Overview'!X$2:X$5021))</f>
        <v>0</v>
      </c>
      <c r="P11" s="104" cm="1">
        <f t="array" ref="P11">SUMPRODUCT(('Projects Overview'!$B$2:$B$5021="Bonnet")*('Projects Overview'!$G$2:$G$5021="Forecast")*('Projects Overview'!Y$2:Y$5021))</f>
        <v>0</v>
      </c>
      <c r="Q11" s="104" cm="1">
        <f t="array" ref="Q11">SUMPRODUCT(('Projects Overview'!$B$2:$B$5021="Bonnet")*('Projects Overview'!$G$2:$G$5021="Forecast")*('Projects Overview'!Z$2:Z$5021))</f>
        <v>0</v>
      </c>
      <c r="R11" s="104" cm="1">
        <f t="array" ref="R11">SUMPRODUCT(('Projects Overview'!$B$2:$B$5021="Bonnet")*('Projects Overview'!$G$2:$G$5021="Forecast")*('Projects Overview'!AA$2:AA$5021))</f>
        <v>0</v>
      </c>
      <c r="S11" s="104" cm="1">
        <f t="array" ref="S11">SUMPRODUCT(('Projects Overview'!$B$2:$B$5021="Bonnet")*('Projects Overview'!$G$2:$G$5021="Forecast")*('Projects Overview'!AB$2:AB$5021))</f>
        <v>528</v>
      </c>
      <c r="T11" s="104" cm="1">
        <f t="array" ref="T11">SUMPRODUCT(('Projects Overview'!$B$2:$B$5021="Bonnet")*('Projects Overview'!$G$2:$G$5021="Forecast")*('Projects Overview'!AC$2:AC$5021))</f>
        <v>660</v>
      </c>
      <c r="U11" s="104" cm="1">
        <f t="array" ref="U11">SUMPRODUCT(('Projects Overview'!$B$2:$B$5021="Bonnet")*('Projects Overview'!$G$2:$G$5021="Forecast")*('Projects Overview'!AD$2:AD$5021))</f>
        <v>264</v>
      </c>
      <c r="V11" s="104" cm="1">
        <f t="array" ref="V11">SUMPRODUCT(('Projects Overview'!$B$2:$B$5021="Bonnet")*('Projects Overview'!$G$2:$G$5021="Forecast")*('Projects Overview'!AE$2:AE$5021))</f>
        <v>528</v>
      </c>
      <c r="W11" s="104" cm="1">
        <f t="array" ref="W11">SUMPRODUCT(('Projects Overview'!$B$2:$B$5021="Bonnet")*('Projects Overview'!$G$2:$G$5021="Forecast")*('Projects Overview'!AF$2:AF$5021))</f>
        <v>370</v>
      </c>
      <c r="X11" s="104" cm="1">
        <f t="array" ref="X11">SUMPRODUCT(('Projects Overview'!$B$2:$B$5021="Bonnet")*('Projects Overview'!$G$2:$G$5021="Forecast")*('Projects Overview'!AG$2:AG$5021))</f>
        <v>1110</v>
      </c>
      <c r="Y11" s="104" cm="1">
        <f t="array" ref="Y11">SUMPRODUCT(('Projects Overview'!$B$2:$B$5021="Bonnet")*('Projects Overview'!$G$2:$G$5021="Forecast")*('Projects Overview'!AH$2:AH$5021))</f>
        <v>1480</v>
      </c>
      <c r="Z11" s="104" cm="1">
        <f t="array" ref="Z11">SUMPRODUCT(('Projects Overview'!$B$2:$B$5021="Bonnet")*('Projects Overview'!$G$2:$G$5021="Forecast")*('Projects Overview'!AI$2:AI$5021))</f>
        <v>740</v>
      </c>
      <c r="AA11" s="104" cm="1">
        <f t="array" ref="AA11">SUMPRODUCT(('Projects Overview'!$B$2:$B$5021="Bonnet")*('Projects Overview'!$G$2:$G$5021="Forecast")*('Projects Overview'!AJ$2:AJ$5021))</f>
        <v>0</v>
      </c>
      <c r="AB11" s="104" cm="1">
        <f t="array" ref="AB11">SUMPRODUCT(('Projects Overview'!$B$2:$B$5021="Bonnet")*('Projects Overview'!$G$2:$G$5021="Forecast")*('Projects Overview'!AK$2:AK$5021))</f>
        <v>0</v>
      </c>
      <c r="AC11" s="104" cm="1">
        <f t="array" ref="AC11">SUMPRODUCT(('Projects Overview'!$B$2:$B$5021="Bonnet")*('Projects Overview'!$G$2:$G$5021="Forecast")*('Projects Overview'!AL$2:AL$5021))</f>
        <v>0</v>
      </c>
      <c r="AD11" s="104" cm="1">
        <f t="array" ref="AD11">SUMPRODUCT(('Projects Overview'!$B$2:$B$5021="Bonnet")*('Projects Overview'!$G$2:$G$5021="Forecast")*('Projects Overview'!AM$2:AM$5021))</f>
        <v>0</v>
      </c>
      <c r="AE11" s="104" cm="1">
        <f t="array" ref="AE11">SUMPRODUCT(('Projects Overview'!$B$2:$B$5021="Bonnet")*('Projects Overview'!$G$2:$G$5021="Forecast")*('Projects Overview'!AN$2:AN$5021))</f>
        <v>0</v>
      </c>
      <c r="AF11" s="104" cm="1">
        <f t="array" ref="AF11">SUMPRODUCT(('Projects Overview'!$B$2:$B$5021="Bonnet")*('Projects Overview'!$G$2:$G$5021="Forecast")*('Projects Overview'!AO$2:AO$5021))</f>
        <v>0</v>
      </c>
      <c r="AG11" s="104" cm="1">
        <f t="array" ref="AG11">SUMPRODUCT(('Projects Overview'!$B$2:$B$5021="Bonnet")*('Projects Overview'!$G$2:$G$5021="Forecast")*('Projects Overview'!AP$2:AP$5021))</f>
        <v>0</v>
      </c>
      <c r="AH11" s="104" cm="1">
        <f t="array" ref="AH11">SUMPRODUCT(('Projects Overview'!$B$2:$B$5021="Bonnet")*('Projects Overview'!$G$2:$G$5021="Forecast")*('Projects Overview'!AQ$2:AQ$5021))</f>
        <v>0</v>
      </c>
      <c r="AI11" s="104" cm="1">
        <f t="array" ref="AI11">SUMPRODUCT(('Projects Overview'!$B$2:$B$5021="Bonnet")*('Projects Overview'!$G$2:$G$5021="Forecast")*('Projects Overview'!AR$2:AR$5021))</f>
        <v>0</v>
      </c>
      <c r="AJ11" s="104" cm="1">
        <f t="array" ref="AJ11">SUMPRODUCT(('Projects Overview'!$B$2:$B$5021="Bonnet")*('Projects Overview'!$G$2:$G$5021="Forecast")*('Projects Overview'!AS$2:AS$5021))</f>
        <v>0</v>
      </c>
      <c r="AK11" s="104" cm="1">
        <f t="array" ref="AK11">SUMPRODUCT(('Projects Overview'!$B$2:$B$5021="Bonnet")*('Projects Overview'!$G$2:$G$5021="Forecast")*('Projects Overview'!AT$2:AT$5021))</f>
        <v>0</v>
      </c>
      <c r="AL11" s="104" cm="1">
        <f t="array" ref="AL11">SUMPRODUCT(('Projects Overview'!$B$2:$B$5021="Bonnet")*('Projects Overview'!$G$2:$G$5021="Forecast")*('Projects Overview'!AU$2:AU$5021))</f>
        <v>0</v>
      </c>
      <c r="AM11" s="104" cm="1">
        <f t="array" ref="AM11">SUMPRODUCT(('Projects Overview'!$B$2:$B$5021="Bonnet")*('Projects Overview'!$G$2:$G$5021="Forecast")*('Projects Overview'!AV$2:AV$5021))</f>
        <v>0</v>
      </c>
      <c r="AN11" s="9"/>
      <c r="AO11" s="9"/>
      <c r="AP11" s="9"/>
      <c r="BE11" s="13" t="s">
        <v>344</v>
      </c>
      <c r="BF11" s="18">
        <f>SUM(BF8:BF10)</f>
        <v>23.927595238095236</v>
      </c>
      <c r="BG11" s="18">
        <f>SUM(BG8:BG10)</f>
        <v>17.538</v>
      </c>
      <c r="BH11" s="18">
        <f>SUM(BH8:BH10)</f>
        <v>1.9166666666666665</v>
      </c>
    </row>
    <row r="12" spans="1:60" x14ac:dyDescent="0.35">
      <c r="A12" s="222"/>
      <c r="B12" s="232" t="s">
        <v>90</v>
      </c>
      <c r="C12" s="1" t="s">
        <v>4</v>
      </c>
      <c r="D12" s="104">
        <v>261.60000000000002</v>
      </c>
      <c r="E12" s="104">
        <v>261.60000000000002</v>
      </c>
      <c r="F12" s="104">
        <v>261.60000000000002</v>
      </c>
      <c r="G12" s="104">
        <v>0</v>
      </c>
      <c r="H12" s="104">
        <v>0</v>
      </c>
      <c r="I12" s="104" cm="1">
        <f t="array" ref="I12">SUMPRODUCT(('Projects Overview'!$B$2:$B$5021="BOP Annular")*('Projects Overview'!$G$2:$G$5021="Firm")*('Projects Overview'!R$2:R$5021))</f>
        <v>0</v>
      </c>
      <c r="J12" s="104" cm="1">
        <f t="array" ref="J12">SUMPRODUCT(('Projects Overview'!$B$2:$B$5021="BOP Annular")*('Projects Overview'!$G$2:$G$5021="Firm")*('Projects Overview'!S$2:S$5021))</f>
        <v>0</v>
      </c>
      <c r="K12" s="104" cm="1">
        <f t="array" ref="K12">SUMPRODUCT(('Projects Overview'!$B$2:$B$5021="BOP Annular")*('Projects Overview'!$G$2:$G$5021="Firm")*('Projects Overview'!T$2:T$5021))</f>
        <v>0</v>
      </c>
      <c r="L12" s="104" cm="1">
        <f t="array" ref="L12">SUMPRODUCT(('Projects Overview'!$B$2:$B$5021="BOP Annular")*('Projects Overview'!$G$2:$G$5021="Firm")*('Projects Overview'!U$2:U$5021))</f>
        <v>0</v>
      </c>
      <c r="M12" s="104" cm="1">
        <f t="array" ref="M12">SUMPRODUCT(('Projects Overview'!$B$2:$B$5021="BOP Annular")*('Projects Overview'!$G$2:$G$5021="Firm")*('Projects Overview'!V$2:V$5021))</f>
        <v>0</v>
      </c>
      <c r="N12" s="104" cm="1">
        <f t="array" ref="N12">SUMPRODUCT(('Projects Overview'!$B$2:$B$5021="BOP Annular")*('Projects Overview'!$G$2:$G$5021="Firm")*('Projects Overview'!W$2:W$5021))</f>
        <v>296</v>
      </c>
      <c r="O12" s="104" cm="1">
        <f t="array" ref="O12">SUMPRODUCT(('Projects Overview'!$B$2:$B$5021="BOP Annular")*('Projects Overview'!$G$2:$G$5021="Firm")*('Projects Overview'!X$2:X$5021))</f>
        <v>20</v>
      </c>
      <c r="P12" s="104" cm="1">
        <f t="array" ref="P12">SUMPRODUCT(('Projects Overview'!$B$2:$B$5021="BOP Annular")*('Projects Overview'!$G$2:$G$5021="Firm")*('Projects Overview'!Y$2:Y$5021))</f>
        <v>270</v>
      </c>
      <c r="Q12" s="104" cm="1">
        <f t="array" ref="Q12">SUMPRODUCT(('Projects Overview'!$B$2:$B$5021="BOP Annular")*('Projects Overview'!$G$2:$G$5021="Firm")*('Projects Overview'!Z$2:Z$5021))</f>
        <v>152</v>
      </c>
      <c r="R12" s="104" cm="1">
        <f t="array" ref="R12">SUMPRODUCT(('Projects Overview'!$B$2:$B$5021="BOP Annular")*('Projects Overview'!$G$2:$G$5021="Firm")*('Projects Overview'!AA$2:AA$5021))</f>
        <v>180</v>
      </c>
      <c r="S12" s="104" cm="1">
        <f t="array" ref="S12">SUMPRODUCT(('Projects Overview'!$B$2:$B$5021="BOP Annular")*('Projects Overview'!$G$2:$G$5021="Firm")*('Projects Overview'!AB$2:AB$5021))</f>
        <v>278</v>
      </c>
      <c r="T12" s="104" cm="1">
        <f t="array" ref="T12">SUMPRODUCT(('Projects Overview'!$B$2:$B$5021="BOP Annular")*('Projects Overview'!$G$2:$G$5021="Firm")*('Projects Overview'!AC$2:AC$5021))</f>
        <v>278</v>
      </c>
      <c r="U12" s="104" cm="1">
        <f t="array" ref="U12">SUMPRODUCT(('Projects Overview'!$B$2:$B$5021="BOP Annular")*('Projects Overview'!$G$2:$G$5021="Firm")*('Projects Overview'!AD$2:AD$5021))</f>
        <v>0</v>
      </c>
      <c r="V12" s="104" cm="1">
        <f t="array" ref="V12">SUMPRODUCT(('Projects Overview'!$B$2:$B$5021="BOP Annular")*('Projects Overview'!$G$2:$G$5021="Firm")*('Projects Overview'!AE$2:AE$5021))</f>
        <v>0</v>
      </c>
      <c r="W12" s="104" cm="1">
        <f t="array" ref="W12">SUMPRODUCT(('Projects Overview'!$B$2:$B$5021="BOP Annular")*('Projects Overview'!$G$2:$G$5021="Firm")*('Projects Overview'!AF$2:AF$5021))</f>
        <v>0</v>
      </c>
      <c r="X12" s="104" cm="1">
        <f t="array" ref="X12">SUMPRODUCT(('Projects Overview'!$B$2:$B$5021="BOP Annular")*('Projects Overview'!$G$2:$G$5021="Firm")*('Projects Overview'!AG$2:AG$5021))</f>
        <v>0</v>
      </c>
      <c r="Y12" s="104" cm="1">
        <f t="array" ref="Y12">SUMPRODUCT(('Projects Overview'!$B$2:$B$5021="BOP Annular")*('Projects Overview'!$G$2:$G$5021="Firm")*('Projects Overview'!AH$2:AH$5021))</f>
        <v>0</v>
      </c>
      <c r="Z12" s="104" cm="1">
        <f t="array" ref="Z12">SUMPRODUCT(('Projects Overview'!$B$2:$B$5021="BOP Annular")*('Projects Overview'!$G$2:$G$5021="Firm")*('Projects Overview'!AI$2:AI$5021))</f>
        <v>0</v>
      </c>
      <c r="AA12" s="104" cm="1">
        <f t="array" ref="AA12">SUMPRODUCT(('Projects Overview'!$B$2:$B$5021="BOP Annular")*('Projects Overview'!$G$2:$G$5021="Firm")*('Projects Overview'!AJ$2:AJ$5021))</f>
        <v>0</v>
      </c>
      <c r="AB12" s="104" cm="1">
        <f t="array" ref="AB12">SUMPRODUCT(('Projects Overview'!$B$2:$B$5021="BOP Annular")*('Projects Overview'!$G$2:$G$5021="Firm")*('Projects Overview'!AK$2:AK$5021))</f>
        <v>0</v>
      </c>
      <c r="AC12" s="104" cm="1">
        <f t="array" ref="AC12">SUMPRODUCT(('Projects Overview'!$B$2:$B$5021="BOP Annular")*('Projects Overview'!$G$2:$G$5021="Firm")*('Projects Overview'!AL$2:AL$5021))</f>
        <v>0</v>
      </c>
      <c r="AD12" s="104" cm="1">
        <f t="array" ref="AD12">SUMPRODUCT(('Projects Overview'!$B$2:$B$5021="BOP Annular")*('Projects Overview'!$G$2:$G$5021="Firm")*('Projects Overview'!AM$2:AM$5021))</f>
        <v>0</v>
      </c>
      <c r="AE12" s="104" cm="1">
        <f t="array" ref="AE12">SUMPRODUCT(('Projects Overview'!$B$2:$B$5021="BOP Annular")*('Projects Overview'!$G$2:$G$5021="Firm")*('Projects Overview'!AN$2:AN$5021))</f>
        <v>0</v>
      </c>
      <c r="AF12" s="104" cm="1">
        <f t="array" ref="AF12">SUMPRODUCT(('Projects Overview'!$B$2:$B$5021="BOP Annular")*('Projects Overview'!$G$2:$G$5021="Firm")*('Projects Overview'!AO$2:AO$5021))</f>
        <v>0</v>
      </c>
      <c r="AG12" s="104" cm="1">
        <f t="array" ref="AG12">SUMPRODUCT(('Projects Overview'!$B$2:$B$5021="BOP Annular")*('Projects Overview'!$G$2:$G$5021="Firm")*('Projects Overview'!AP$2:AP$5021))</f>
        <v>0</v>
      </c>
      <c r="AH12" s="104" cm="1">
        <f t="array" ref="AH12">SUMPRODUCT(('Projects Overview'!$B$2:$B$5021="BOP Annular")*('Projects Overview'!$G$2:$G$5021="Firm")*('Projects Overview'!AQ$2:AQ$5021))</f>
        <v>0</v>
      </c>
      <c r="AI12" s="104" cm="1">
        <f t="array" ref="AI12">SUMPRODUCT(('Projects Overview'!$B$2:$B$5021="BOP Annular")*('Projects Overview'!$G$2:$G$5021="Firm")*('Projects Overview'!AR$2:AR$5021))</f>
        <v>0</v>
      </c>
      <c r="AJ12" s="104" cm="1">
        <f t="array" ref="AJ12">SUMPRODUCT(('Projects Overview'!$B$2:$B$5021="BOP Annular")*('Projects Overview'!$G$2:$G$5021="Firm")*('Projects Overview'!AS$2:AS$5021))</f>
        <v>0</v>
      </c>
      <c r="AK12" s="104" cm="1">
        <f t="array" ref="AK12">SUMPRODUCT(('Projects Overview'!$B$2:$B$5021="BOP Annular")*('Projects Overview'!$G$2:$G$5021="Firm")*('Projects Overview'!AT$2:AT$5021))</f>
        <v>0</v>
      </c>
      <c r="AL12" s="104" cm="1">
        <f t="array" ref="AL12">SUMPRODUCT(('Projects Overview'!$B$2:$B$5021="BOP Annular")*('Projects Overview'!$G$2:$G$5021="Firm")*('Projects Overview'!AU$2:AU$5021))</f>
        <v>0</v>
      </c>
      <c r="AM12" s="104" cm="1">
        <f t="array" ref="AM12">SUMPRODUCT(('Projects Overview'!$B$2:$B$5021="BOP Annular")*('Projects Overview'!$G$2:$G$5021="Firm")*('Projects Overview'!AV$2:AV$5021))</f>
        <v>0</v>
      </c>
      <c r="AN12" s="9"/>
      <c r="AO12" s="9"/>
      <c r="AP12" s="9"/>
      <c r="BE12" s="14" t="s">
        <v>345</v>
      </c>
      <c r="BF12" s="19">
        <f>SUM(AQ45:AT45)/1000</f>
        <v>29.460390476190479</v>
      </c>
      <c r="BG12" s="21">
        <f>SUM(AU45:AX45)/1000</f>
        <v>4.7080000000000002</v>
      </c>
      <c r="BH12" s="21">
        <f>SUM(AY45:BB45)/1000</f>
        <v>0</v>
      </c>
    </row>
    <row r="13" spans="1:60" x14ac:dyDescent="0.35">
      <c r="A13" s="222"/>
      <c r="B13" s="227"/>
      <c r="C13" s="2" t="s">
        <v>6</v>
      </c>
      <c r="D13" s="104">
        <v>0</v>
      </c>
      <c r="E13" s="104">
        <v>0</v>
      </c>
      <c r="F13" s="104">
        <v>0</v>
      </c>
      <c r="G13" s="104">
        <v>0</v>
      </c>
      <c r="H13" s="104">
        <v>0</v>
      </c>
      <c r="I13" s="104" cm="1">
        <f t="array" ref="I13">SUMPRODUCT(('Projects Overview'!$B$2:$B$5021="BOP Annular")*('Projects Overview'!$G$2:$G$5021="Risk Release")*('Projects Overview'!R$2:R$5021))</f>
        <v>0</v>
      </c>
      <c r="J13" s="104" cm="1">
        <f t="array" ref="J13">SUMPRODUCT(('Projects Overview'!$B$2:$B$5021="BOP Annular")*('Projects Overview'!$G$2:$G$5021="Risk Release")*('Projects Overview'!S$2:S$5021))</f>
        <v>0</v>
      </c>
      <c r="K13" s="104" cm="1">
        <f t="array" ref="K13">SUMPRODUCT(('Projects Overview'!$B$2:$B$5021="BOP Annular")*('Projects Overview'!$G$2:$G$5021="Risk Release")*('Projects Overview'!T$2:T$5021))</f>
        <v>0</v>
      </c>
      <c r="L13" s="104" cm="1">
        <f t="array" ref="L13">SUMPRODUCT(('Projects Overview'!$B$2:$B$5021="BOP Annular")*('Projects Overview'!$G$2:$G$5021="Risk Release")*('Projects Overview'!U$2:U$5021))</f>
        <v>0</v>
      </c>
      <c r="M13" s="104" cm="1">
        <f t="array" ref="M13">SUMPRODUCT(('Projects Overview'!$B$2:$B$5021="BOP Annular")*('Projects Overview'!$G$2:$G$5021="Risk Release")*('Projects Overview'!V$2:V$5021))</f>
        <v>0</v>
      </c>
      <c r="N13" s="104" cm="1">
        <f t="array" ref="N13">SUMPRODUCT(('Projects Overview'!$B$2:$B$5021="BOP Annular")*('Projects Overview'!$G$2:$G$5021="Risk Release")*('Projects Overview'!W$2:W$5021))</f>
        <v>0</v>
      </c>
      <c r="O13" s="104" cm="1">
        <f t="array" ref="O13">SUMPRODUCT(('Projects Overview'!$B$2:$B$5021="BOP Annular")*('Projects Overview'!$G$2:$G$5021="Risk Release")*('Projects Overview'!X$2:X$5021))</f>
        <v>0</v>
      </c>
      <c r="P13" s="104" cm="1">
        <f t="array" ref="P13">SUMPRODUCT(('Projects Overview'!$B$2:$B$5021="BOP Annular")*('Projects Overview'!$G$2:$G$5021="Risk Release")*('Projects Overview'!Y$2:Y$5021))</f>
        <v>0</v>
      </c>
      <c r="Q13" s="104" cm="1">
        <f t="array" ref="Q13">SUMPRODUCT(('Projects Overview'!$B$2:$B$5021="BOP Annular")*('Projects Overview'!$G$2:$G$5021="Risk Release")*('Projects Overview'!Z$2:Z$5021))</f>
        <v>0</v>
      </c>
      <c r="R13" s="104" cm="1">
        <f t="array" ref="R13">SUMPRODUCT(('Projects Overview'!$B$2:$B$5021="BOP Annular")*('Projects Overview'!$G$2:$G$5021="Risk Release")*('Projects Overview'!AA$2:AA$5021))</f>
        <v>0</v>
      </c>
      <c r="S13" s="104" cm="1">
        <f t="array" ref="S13">SUMPRODUCT(('Projects Overview'!$B$2:$B$5021="BOP Annular")*('Projects Overview'!$G$2:$G$5021="Risk Release")*('Projects Overview'!AB$2:AB$5021))</f>
        <v>0</v>
      </c>
      <c r="T13" s="104" cm="1">
        <f t="array" ref="T13">SUMPRODUCT(('Projects Overview'!$B$2:$B$5021="BOP Annular")*('Projects Overview'!$G$2:$G$5021="Risk Release")*('Projects Overview'!AC$2:AC$5021))</f>
        <v>0</v>
      </c>
      <c r="U13" s="104" cm="1">
        <f t="array" ref="U13">SUMPRODUCT(('Projects Overview'!$B$2:$B$5021="BOP Annular")*('Projects Overview'!$G$2:$G$5021="Risk Release")*('Projects Overview'!AD$2:AD$5021))</f>
        <v>0</v>
      </c>
      <c r="V13" s="104" cm="1">
        <f t="array" ref="V13">SUMPRODUCT(('Projects Overview'!$B$2:$B$5021="BOP Annular")*('Projects Overview'!$G$2:$G$5021="Risk Release")*('Projects Overview'!AE$2:AE$5021))</f>
        <v>0</v>
      </c>
      <c r="W13" s="104" cm="1">
        <f t="array" ref="W13">SUMPRODUCT(('Projects Overview'!$B$2:$B$5021="BOP Annular")*('Projects Overview'!$G$2:$G$5021="Risk Release")*('Projects Overview'!AF$2:AF$5021))</f>
        <v>0</v>
      </c>
      <c r="X13" s="104" cm="1">
        <f t="array" ref="X13">SUMPRODUCT(('Projects Overview'!$B$2:$B$5021="BOP Annular")*('Projects Overview'!$G$2:$G$5021="Risk Release")*('Projects Overview'!AG$2:AG$5021))</f>
        <v>0</v>
      </c>
      <c r="Y13" s="104" cm="1">
        <f t="array" ref="Y13">SUMPRODUCT(('Projects Overview'!$B$2:$B$5021="BOP Annular")*('Projects Overview'!$G$2:$G$5021="Risk Release")*('Projects Overview'!AH$2:AH$5021))</f>
        <v>0</v>
      </c>
      <c r="Z13" s="104" cm="1">
        <f t="array" ref="Z13">SUMPRODUCT(('Projects Overview'!$B$2:$B$5021="BOP Annular")*('Projects Overview'!$G$2:$G$5021="Risk Release")*('Projects Overview'!AI$2:AI$5021))</f>
        <v>0</v>
      </c>
      <c r="AA13" s="104" cm="1">
        <f t="array" ref="AA13">SUMPRODUCT(('Projects Overview'!$B$2:$B$5021="BOP Annular")*('Projects Overview'!$G$2:$G$5021="Risk Release")*('Projects Overview'!AJ$2:AJ$5021))</f>
        <v>0</v>
      </c>
      <c r="AB13" s="104" cm="1">
        <f t="array" ref="AB13">SUMPRODUCT(('Projects Overview'!$B$2:$B$5021="BOP Annular")*('Projects Overview'!$G$2:$G$5021="Risk Release")*('Projects Overview'!AK$2:AK$5021))</f>
        <v>0</v>
      </c>
      <c r="AC13" s="104" cm="1">
        <f t="array" ref="AC13">SUMPRODUCT(('Projects Overview'!$B$2:$B$5021="BOP Annular")*('Projects Overview'!$G$2:$G$5021="Risk Release")*('Projects Overview'!AL$2:AL$5021))</f>
        <v>0</v>
      </c>
      <c r="AD13" s="104" cm="1">
        <f t="array" ref="AD13">SUMPRODUCT(('Projects Overview'!$B$2:$B$5021="BOP Annular")*('Projects Overview'!$G$2:$G$5021="Risk Release")*('Projects Overview'!AM$2:AM$5021))</f>
        <v>0</v>
      </c>
      <c r="AE13" s="104" cm="1">
        <f t="array" ref="AE13">SUMPRODUCT(('Projects Overview'!$B$2:$B$5021="BOP Annular")*('Projects Overview'!$G$2:$G$5021="Risk Release")*('Projects Overview'!AN$2:AN$5021))</f>
        <v>0</v>
      </c>
      <c r="AF13" s="104" cm="1">
        <f t="array" ref="AF13">SUMPRODUCT(('Projects Overview'!$B$2:$B$5021="BOP Annular")*('Projects Overview'!$G$2:$G$5021="Risk Release")*('Projects Overview'!AO$2:AO$5021))</f>
        <v>0</v>
      </c>
      <c r="AG13" s="104" cm="1">
        <f t="array" ref="AG13">SUMPRODUCT(('Projects Overview'!$B$2:$B$5021="BOP Annular")*('Projects Overview'!$G$2:$G$5021="Risk Release")*('Projects Overview'!AP$2:AP$5021))</f>
        <v>0</v>
      </c>
      <c r="AH13" s="104" cm="1">
        <f t="array" ref="AH13">SUMPRODUCT(('Projects Overview'!$B$2:$B$5021="BOP Annular")*('Projects Overview'!$G$2:$G$5021="Risk Release")*('Projects Overview'!AQ$2:AQ$5021))</f>
        <v>0</v>
      </c>
      <c r="AI13" s="104" cm="1">
        <f t="array" ref="AI13">SUMPRODUCT(('Projects Overview'!$B$2:$B$5021="BOP Annular")*('Projects Overview'!$G$2:$G$5021="Risk Release")*('Projects Overview'!AR$2:AR$5021))</f>
        <v>0</v>
      </c>
      <c r="AJ13" s="104" cm="1">
        <f t="array" ref="AJ13">SUMPRODUCT(('Projects Overview'!$B$2:$B$5021="BOP Annular")*('Projects Overview'!$G$2:$G$5021="Risk Release")*('Projects Overview'!AS$2:AS$5021))</f>
        <v>0</v>
      </c>
      <c r="AK13" s="104" cm="1">
        <f t="array" ref="AK13">SUMPRODUCT(('Projects Overview'!$B$2:$B$5021="BOP Annular")*('Projects Overview'!$G$2:$G$5021="Risk Release")*('Projects Overview'!AT$2:AT$5021))</f>
        <v>0</v>
      </c>
      <c r="AL13" s="104" cm="1">
        <f t="array" ref="AL13">SUMPRODUCT(('Projects Overview'!$B$2:$B$5021="BOP Annular")*('Projects Overview'!$G$2:$G$5021="Risk Release")*('Projects Overview'!AU$2:AU$5021))</f>
        <v>0</v>
      </c>
      <c r="AM13" s="104" cm="1">
        <f t="array" ref="AM13">SUMPRODUCT(('Projects Overview'!$B$2:$B$5021="BOP Annular")*('Projects Overview'!$G$2:$G$5021="Risk Release")*('Projects Overview'!AV$2:AV$5021))</f>
        <v>0</v>
      </c>
      <c r="AN13" s="9"/>
      <c r="AO13" s="9"/>
      <c r="AP13" s="9"/>
      <c r="BE13" s="14" t="s">
        <v>346</v>
      </c>
      <c r="BF13" s="19">
        <f>SUM(AQ50:AT50)/1000</f>
        <v>0</v>
      </c>
      <c r="BG13" s="21">
        <f>SUM(AU50:AX50)/1000</f>
        <v>0</v>
      </c>
      <c r="BH13" s="21">
        <f>SUM(AY50:BB50)/1000</f>
        <v>0</v>
      </c>
    </row>
    <row r="14" spans="1:60" ht="15" thickBot="1" x14ac:dyDescent="0.4">
      <c r="A14" s="222"/>
      <c r="B14" s="228"/>
      <c r="C14" s="3" t="s">
        <v>8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 cm="1">
        <f t="array" ref="I14">SUMPRODUCT(('Projects Overview'!$B$2:$B$5021="BOP Annular")*('Projects Overview'!$G$2:$G$5021="Forecast")*('Projects Overview'!R$2:R$5021))</f>
        <v>0</v>
      </c>
      <c r="J14" s="104" cm="1">
        <f t="array" ref="J14">SUMPRODUCT(('Projects Overview'!$B$2:$B$5021="BOP Annular")*('Projects Overview'!$G$2:$G$5021="Forecast")*('Projects Overview'!S$2:S$5021))</f>
        <v>0</v>
      </c>
      <c r="K14" s="104" cm="1">
        <f t="array" ref="K14">SUMPRODUCT(('Projects Overview'!$B$2:$B$5021="BOP Annular")*('Projects Overview'!$G$2:$G$5021="Forecast")*('Projects Overview'!T$2:T$5021))</f>
        <v>0</v>
      </c>
      <c r="L14" s="104" cm="1">
        <f t="array" ref="L14">SUMPRODUCT(('Projects Overview'!$B$2:$B$5021="BOP Annular")*('Projects Overview'!$G$2:$G$5021="Forecast")*('Projects Overview'!U$2:U$5021))</f>
        <v>0</v>
      </c>
      <c r="M14" s="104" cm="1">
        <f t="array" ref="M14">SUMPRODUCT(('Projects Overview'!$B$2:$B$5021="BOP Annular")*('Projects Overview'!$G$2:$G$5021="Forecast")*('Projects Overview'!V$2:V$5021))</f>
        <v>0</v>
      </c>
      <c r="N14" s="104" cm="1">
        <f t="array" ref="N14">SUMPRODUCT(('Projects Overview'!$B$2:$B$5021="BOP Annular")*('Projects Overview'!$G$2:$G$5021="Forecast")*('Projects Overview'!W$2:W$5021))</f>
        <v>0</v>
      </c>
      <c r="O14" s="104" cm="1">
        <f t="array" ref="O14">SUMPRODUCT(('Projects Overview'!$B$2:$B$5021="BOP Annular")*('Projects Overview'!$G$2:$G$5021="Forecast")*('Projects Overview'!X$2:X$5021))</f>
        <v>0</v>
      </c>
      <c r="P14" s="104" cm="1">
        <f t="array" ref="P14">SUMPRODUCT(('Projects Overview'!$B$2:$B$5021="BOP Annular")*('Projects Overview'!$G$2:$G$5021="Forecast")*('Projects Overview'!Y$2:Y$5021))</f>
        <v>0</v>
      </c>
      <c r="Q14" s="104" cm="1">
        <f t="array" ref="Q14">SUMPRODUCT(('Projects Overview'!$B$2:$B$5021="BOP Annular")*('Projects Overview'!$G$2:$G$5021="Forecast")*('Projects Overview'!Z$2:Z$5021))</f>
        <v>0</v>
      </c>
      <c r="R14" s="104" cm="1">
        <f t="array" ref="R14">SUMPRODUCT(('Projects Overview'!$B$2:$B$5021="BOP Annular")*('Projects Overview'!$G$2:$G$5021="Forecast")*('Projects Overview'!AA$2:AA$5021))</f>
        <v>176</v>
      </c>
      <c r="S14" s="104" cm="1">
        <f t="array" ref="S14">SUMPRODUCT(('Projects Overview'!$B$2:$B$5021="BOP Annular")*('Projects Overview'!$G$2:$G$5021="Forecast")*('Projects Overview'!AB$2:AB$5021))</f>
        <v>0</v>
      </c>
      <c r="T14" s="104" cm="1">
        <f t="array" ref="T14">SUMPRODUCT(('Projects Overview'!$B$2:$B$5021="BOP Annular")*('Projects Overview'!$G$2:$G$5021="Forecast")*('Projects Overview'!AC$2:AC$5021))</f>
        <v>132</v>
      </c>
      <c r="U14" s="104" cm="1">
        <f t="array" ref="U14">SUMPRODUCT(('Projects Overview'!$B$2:$B$5021="BOP Annular")*('Projects Overview'!$G$2:$G$5021="Forecast")*('Projects Overview'!AD$2:AD$5021))</f>
        <v>0</v>
      </c>
      <c r="V14" s="104" cm="1">
        <f t="array" ref="V14">SUMPRODUCT(('Projects Overview'!$B$2:$B$5021="BOP Annular")*('Projects Overview'!$G$2:$G$5021="Forecast")*('Projects Overview'!AE$2:AE$5021))</f>
        <v>0</v>
      </c>
      <c r="W14" s="104" cm="1">
        <f t="array" ref="W14">SUMPRODUCT(('Projects Overview'!$B$2:$B$5021="BOP Annular")*('Projects Overview'!$G$2:$G$5021="Forecast")*('Projects Overview'!AF$2:AF$5021))</f>
        <v>0</v>
      </c>
      <c r="X14" s="104" cm="1">
        <f t="array" ref="X14">SUMPRODUCT(('Projects Overview'!$B$2:$B$5021="BOP Annular")*('Projects Overview'!$G$2:$G$5021="Forecast")*('Projects Overview'!AG$2:AG$5021))</f>
        <v>0</v>
      </c>
      <c r="Y14" s="104" cm="1">
        <f t="array" ref="Y14">SUMPRODUCT(('Projects Overview'!$B$2:$B$5021="BOP Annular")*('Projects Overview'!$G$2:$G$5021="Forecast")*('Projects Overview'!AH$2:AH$5021))</f>
        <v>0</v>
      </c>
      <c r="Z14" s="104" cm="1">
        <f t="array" ref="Z14">SUMPRODUCT(('Projects Overview'!$B$2:$B$5021="BOP Annular")*('Projects Overview'!$G$2:$G$5021="Forecast")*('Projects Overview'!AI$2:AI$5021))</f>
        <v>0</v>
      </c>
      <c r="AA14" s="104" cm="1">
        <f t="array" ref="AA14">SUMPRODUCT(('Projects Overview'!$B$2:$B$5021="BOP Annular")*('Projects Overview'!$G$2:$G$5021="Forecast")*('Projects Overview'!AJ$2:AJ$5021))</f>
        <v>0</v>
      </c>
      <c r="AB14" s="104" cm="1">
        <f t="array" ref="AB14">SUMPRODUCT(('Projects Overview'!$B$2:$B$5021="BOP Annular")*('Projects Overview'!$G$2:$G$5021="Forecast")*('Projects Overview'!AK$2:AK$5021))</f>
        <v>0</v>
      </c>
      <c r="AC14" s="104" cm="1">
        <f t="array" ref="AC14">SUMPRODUCT(('Projects Overview'!$B$2:$B$5021="BOP Annular")*('Projects Overview'!$G$2:$G$5021="Forecast")*('Projects Overview'!AL$2:AL$5021))</f>
        <v>0</v>
      </c>
      <c r="AD14" s="104" cm="1">
        <f t="array" ref="AD14">SUMPRODUCT(('Projects Overview'!$B$2:$B$5021="BOP Annular")*('Projects Overview'!$G$2:$G$5021="Forecast")*('Projects Overview'!AM$2:AM$5021))</f>
        <v>0</v>
      </c>
      <c r="AE14" s="104" cm="1">
        <f t="array" ref="AE14">SUMPRODUCT(('Projects Overview'!$B$2:$B$5021="BOP Annular")*('Projects Overview'!$G$2:$G$5021="Forecast")*('Projects Overview'!AN$2:AN$5021))</f>
        <v>0</v>
      </c>
      <c r="AF14" s="104" cm="1">
        <f t="array" ref="AF14">SUMPRODUCT(('Projects Overview'!$B$2:$B$5021="BOP Annular")*('Projects Overview'!$G$2:$G$5021="Forecast")*('Projects Overview'!AO$2:AO$5021))</f>
        <v>0</v>
      </c>
      <c r="AG14" s="104" cm="1">
        <f t="array" ref="AG14">SUMPRODUCT(('Projects Overview'!$B$2:$B$5021="BOP Annular")*('Projects Overview'!$G$2:$G$5021="Forecast")*('Projects Overview'!AP$2:AP$5021))</f>
        <v>0</v>
      </c>
      <c r="AH14" s="104" cm="1">
        <f t="array" ref="AH14">SUMPRODUCT(('Projects Overview'!$B$2:$B$5021="BOP Annular")*('Projects Overview'!$G$2:$G$5021="Forecast")*('Projects Overview'!AQ$2:AQ$5021))</f>
        <v>0</v>
      </c>
      <c r="AI14" s="104" cm="1">
        <f t="array" ref="AI14">SUMPRODUCT(('Projects Overview'!$B$2:$B$5021="BOP Annular")*('Projects Overview'!$G$2:$G$5021="Forecast")*('Projects Overview'!AR$2:AR$5021))</f>
        <v>0</v>
      </c>
      <c r="AJ14" s="104" cm="1">
        <f t="array" ref="AJ14">SUMPRODUCT(('Projects Overview'!$B$2:$B$5021="BOP Annular")*('Projects Overview'!$G$2:$G$5021="Forecast")*('Projects Overview'!AS$2:AS$5021))</f>
        <v>0</v>
      </c>
      <c r="AK14" s="104" cm="1">
        <f t="array" ref="AK14">SUMPRODUCT(('Projects Overview'!$B$2:$B$5021="BOP Annular")*('Projects Overview'!$G$2:$G$5021="Forecast")*('Projects Overview'!AT$2:AT$5021))</f>
        <v>0</v>
      </c>
      <c r="AL14" s="104" cm="1">
        <f t="array" ref="AL14">SUMPRODUCT(('Projects Overview'!$B$2:$B$5021="BOP Annular")*('Projects Overview'!$G$2:$G$5021="Forecast")*('Projects Overview'!AU$2:AU$5021))</f>
        <v>0</v>
      </c>
      <c r="AM14" s="104" cm="1">
        <f t="array" ref="AM14">SUMPRODUCT(('Projects Overview'!$B$2:$B$5021="BOP Annular")*('Projects Overview'!$G$2:$G$5021="Forecast")*('Projects Overview'!AV$2:AV$5021))</f>
        <v>0</v>
      </c>
      <c r="AN14" s="9"/>
      <c r="AO14" s="9"/>
      <c r="AP14" s="9"/>
      <c r="BE14" s="14" t="s">
        <v>347</v>
      </c>
      <c r="BF14" s="17">
        <f>SUM(AQ53:AT53)/1000</f>
        <v>0</v>
      </c>
      <c r="BG14" s="21">
        <f>SUM(AU53:AX53)/1000</f>
        <v>12.124000000000001</v>
      </c>
      <c r="BH14" s="21">
        <f>SUM(AY53:BB53)/1000</f>
        <v>2.5</v>
      </c>
    </row>
    <row r="15" spans="1:60" ht="15" thickBot="1" x14ac:dyDescent="0.4">
      <c r="A15" s="222"/>
      <c r="B15" s="240" t="s">
        <v>96</v>
      </c>
      <c r="C15" s="1" t="s">
        <v>4</v>
      </c>
      <c r="D15" s="104">
        <v>424.16666666666669</v>
      </c>
      <c r="E15" s="104">
        <v>256.66666666666669</v>
      </c>
      <c r="F15" s="104">
        <v>256.66666666666669</v>
      </c>
      <c r="G15" s="104">
        <v>256.66666666666663</v>
      </c>
      <c r="H15" s="104">
        <v>0</v>
      </c>
      <c r="I15" s="104" cm="1">
        <f t="array" ref="I15">SUMPRODUCT(('Projects Overview'!$B$2:$B$5021="Annular Piston")*('Projects Overview'!$G$2:$G$5021="Firm")*('Projects Overview'!R$2:R$5021))</f>
        <v>0</v>
      </c>
      <c r="J15" s="104" cm="1">
        <f t="array" ref="J15">SUMPRODUCT(('Projects Overview'!$B$2:$B$5021="Annular Piston")*('Projects Overview'!$G$2:$G$5021="Firm")*('Projects Overview'!S$2:S$5021))</f>
        <v>0</v>
      </c>
      <c r="K15" s="104" cm="1">
        <f t="array" ref="K15">SUMPRODUCT(('Projects Overview'!$B$2:$B$5021="Annular Piston")*('Projects Overview'!$G$2:$G$5021="Firm")*('Projects Overview'!T$2:T$5021))</f>
        <v>0</v>
      </c>
      <c r="L15" s="104" cm="1">
        <f t="array" ref="L15">SUMPRODUCT(('Projects Overview'!$B$2:$B$5021="Annular Piston")*('Projects Overview'!$G$2:$G$5021="Firm")*('Projects Overview'!U$2:U$5021))</f>
        <v>0</v>
      </c>
      <c r="M15" s="104" cm="1">
        <f t="array" ref="M15">SUMPRODUCT(('Projects Overview'!$B$2:$B$5021="Annular Piston")*('Projects Overview'!$G$2:$G$5021="Firm")*('Projects Overview'!V$2:V$5021))</f>
        <v>0</v>
      </c>
      <c r="N15" s="104" cm="1">
        <f t="array" ref="N15">SUMPRODUCT(('Projects Overview'!$B$2:$B$5021="Annular Piston")*('Projects Overview'!$G$2:$G$5021="Firm")*('Projects Overview'!W$2:W$5021))</f>
        <v>0</v>
      </c>
      <c r="O15" s="104" cm="1">
        <f t="array" ref="O15">SUMPRODUCT(('Projects Overview'!$B$2:$B$5021="Annular Piston")*('Projects Overview'!$G$2:$G$5021="Firm")*('Projects Overview'!X$2:X$5021))</f>
        <v>0</v>
      </c>
      <c r="P15" s="104" cm="1">
        <f t="array" ref="P15">SUMPRODUCT(('Projects Overview'!$B$2:$B$5021="Annular Piston")*('Projects Overview'!$G$2:$G$5021="Firm")*('Projects Overview'!Y$2:Y$5021))</f>
        <v>0</v>
      </c>
      <c r="Q15" s="104" cm="1">
        <f t="array" ref="Q15">SUMPRODUCT(('Projects Overview'!$B$2:$B$5021="Annular Piston")*('Projects Overview'!$G$2:$G$5021="Firm")*('Projects Overview'!Z$2:Z$5021))</f>
        <v>0</v>
      </c>
      <c r="R15" s="104" cm="1">
        <f t="array" ref="R15">SUMPRODUCT(('Projects Overview'!$B$2:$B$5021="Annular Piston")*('Projects Overview'!$G$2:$G$5021="Firm")*('Projects Overview'!AA$2:AA$5021))</f>
        <v>0</v>
      </c>
      <c r="S15" s="104" cm="1">
        <f t="array" ref="S15">SUMPRODUCT(('Projects Overview'!$B$2:$B$5021="Annular Piston")*('Projects Overview'!$G$2:$G$5021="Firm")*('Projects Overview'!AB$2:AB$5021))</f>
        <v>0</v>
      </c>
      <c r="T15" s="104" cm="1">
        <f t="array" ref="T15">SUMPRODUCT(('Projects Overview'!$B$2:$B$5021="Annular Piston")*('Projects Overview'!$G$2:$G$5021="Firm")*('Projects Overview'!AC$2:AC$5021))</f>
        <v>0</v>
      </c>
      <c r="U15" s="104" cm="1">
        <f t="array" ref="U15">SUMPRODUCT(('Projects Overview'!$B$2:$B$5021="Annular Piston")*('Projects Overview'!$G$2:$G$5021="Firm")*('Projects Overview'!AD$2:AD$5021))</f>
        <v>0</v>
      </c>
      <c r="V15" s="104" cm="1">
        <f t="array" ref="V15">SUMPRODUCT(('Projects Overview'!$B$2:$B$5021="Annular Piston")*('Projects Overview'!$G$2:$G$5021="Firm")*('Projects Overview'!AE$2:AE$5021))</f>
        <v>0</v>
      </c>
      <c r="W15" s="104" cm="1">
        <f t="array" ref="W15">SUMPRODUCT(('Projects Overview'!$B$2:$B$5021="Annular Piston")*('Projects Overview'!$G$2:$G$5021="Firm")*('Projects Overview'!AF$2:AF$5021))</f>
        <v>0</v>
      </c>
      <c r="X15" s="104" cm="1">
        <f t="array" ref="X15">SUMPRODUCT(('Projects Overview'!$B$2:$B$5021="Annular Piston")*('Projects Overview'!$G$2:$G$5021="Firm")*('Projects Overview'!AG$2:AG$5021))</f>
        <v>0</v>
      </c>
      <c r="Y15" s="104" cm="1">
        <f t="array" ref="Y15">SUMPRODUCT(('Projects Overview'!$B$2:$B$5021="Annular Piston")*('Projects Overview'!$G$2:$G$5021="Firm")*('Projects Overview'!AH$2:AH$5021))</f>
        <v>0</v>
      </c>
      <c r="Z15" s="104" cm="1">
        <f t="array" ref="Z15">SUMPRODUCT(('Projects Overview'!$B$2:$B$5021="Annular Piston")*('Projects Overview'!$G$2:$G$5021="Firm")*('Projects Overview'!AI$2:AI$5021))</f>
        <v>0</v>
      </c>
      <c r="AA15" s="104" cm="1">
        <f t="array" ref="AA15">SUMPRODUCT(('Projects Overview'!$B$2:$B$5021="Annular Piston")*('Projects Overview'!$G$2:$G$5021="Firm")*('Projects Overview'!AJ$2:AJ$5021))</f>
        <v>0</v>
      </c>
      <c r="AB15" s="104" cm="1">
        <f t="array" ref="AB15">SUMPRODUCT(('Projects Overview'!$B$2:$B$5021="Annular Piston")*('Projects Overview'!$G$2:$G$5021="Firm")*('Projects Overview'!AK$2:AK$5021))</f>
        <v>0</v>
      </c>
      <c r="AC15" s="104" cm="1">
        <f t="array" ref="AC15">SUMPRODUCT(('Projects Overview'!$B$2:$B$5021="Annular Piston")*('Projects Overview'!$G$2:$G$5021="Firm")*('Projects Overview'!AL$2:AL$5021))</f>
        <v>0</v>
      </c>
      <c r="AD15" s="104" cm="1">
        <f t="array" ref="AD15">SUMPRODUCT(('Projects Overview'!$B$2:$B$5021="Annular Piston")*('Projects Overview'!$G$2:$G$5021="Firm")*('Projects Overview'!AM$2:AM$5021))</f>
        <v>0</v>
      </c>
      <c r="AE15" s="104" cm="1">
        <f t="array" ref="AE15">SUMPRODUCT(('Projects Overview'!$B$2:$B$5021="Annular Piston")*('Projects Overview'!$G$2:$G$5021="Firm")*('Projects Overview'!AN$2:AN$5021))</f>
        <v>0</v>
      </c>
      <c r="AF15" s="104" cm="1">
        <f t="array" ref="AF15">SUMPRODUCT(('Projects Overview'!$B$2:$B$5021="Annular Piston")*('Projects Overview'!$G$2:$G$5021="Firm")*('Projects Overview'!AO$2:AO$5021))</f>
        <v>0</v>
      </c>
      <c r="AG15" s="104" cm="1">
        <f t="array" ref="AG15">SUMPRODUCT(('Projects Overview'!$B$2:$B$5021="Annular Piston")*('Projects Overview'!$G$2:$G$5021="Firm")*('Projects Overview'!AP$2:AP$5021))</f>
        <v>0</v>
      </c>
      <c r="AH15" s="104" cm="1">
        <f t="array" ref="AH15">SUMPRODUCT(('Projects Overview'!$B$2:$B$5021="Annular Piston")*('Projects Overview'!$G$2:$G$5021="Firm")*('Projects Overview'!AQ$2:AQ$5021))</f>
        <v>0</v>
      </c>
      <c r="AI15" s="104" cm="1">
        <f t="array" ref="AI15">SUMPRODUCT(('Projects Overview'!$B$2:$B$5021="Annular Piston")*('Projects Overview'!$G$2:$G$5021="Firm")*('Projects Overview'!AR$2:AR$5021))</f>
        <v>0</v>
      </c>
      <c r="AJ15" s="104" cm="1">
        <f t="array" ref="AJ15">SUMPRODUCT(('Projects Overview'!$B$2:$B$5021="Annular Piston")*('Projects Overview'!$G$2:$G$5021="Firm")*('Projects Overview'!AS$2:AS$5021))</f>
        <v>0</v>
      </c>
      <c r="AK15" s="104" cm="1">
        <f t="array" ref="AK15">SUMPRODUCT(('Projects Overview'!$B$2:$B$5021="Annular Piston")*('Projects Overview'!$G$2:$G$5021="Firm")*('Projects Overview'!AT$2:AT$5021))</f>
        <v>0</v>
      </c>
      <c r="AL15" s="104" cm="1">
        <f t="array" ref="AL15">SUMPRODUCT(('Projects Overview'!$B$2:$B$5021="Annular Piston")*('Projects Overview'!$G$2:$G$5021="Firm")*('Projects Overview'!AU$2:AU$5021))</f>
        <v>0</v>
      </c>
      <c r="AM15" s="104" cm="1">
        <f t="array" ref="AM15">SUMPRODUCT(('Projects Overview'!$B$2:$B$5021="Annular Piston")*('Projects Overview'!$G$2:$G$5021="Firm")*('Projects Overview'!AV$2:AV$5021))</f>
        <v>0</v>
      </c>
      <c r="AN15" s="9"/>
      <c r="AO15" s="9"/>
      <c r="AP15" s="9"/>
      <c r="BE15" s="13" t="s">
        <v>348</v>
      </c>
      <c r="BF15" s="18">
        <f>SUM(BF12:BF14)</f>
        <v>29.460390476190479</v>
      </c>
      <c r="BG15" s="18">
        <f>SUM(BG12:BG14)</f>
        <v>16.832000000000001</v>
      </c>
      <c r="BH15" s="18">
        <f>SUM(BH12:BH14)</f>
        <v>2.5</v>
      </c>
    </row>
    <row r="16" spans="1:60" x14ac:dyDescent="0.35">
      <c r="A16" s="222"/>
      <c r="B16" s="241"/>
      <c r="C16" s="2" t="s">
        <v>6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 cm="1">
        <f t="array" ref="I16">SUMPRODUCT(('Projects Overview'!$B$2:$B$5021="Annular Piston")*('Projects Overview'!$G$2:$G$5021="Risk Release")*('Projects Overview'!R$2:R$5021))</f>
        <v>0</v>
      </c>
      <c r="J16" s="104" cm="1">
        <f t="array" ref="J16">SUMPRODUCT(('Projects Overview'!$B$2:$B$5021="Annular Piston")*('Projects Overview'!$G$2:$G$5021="Risk Release")*('Projects Overview'!S$2:S$5021))</f>
        <v>0</v>
      </c>
      <c r="K16" s="104" cm="1">
        <f t="array" ref="K16">SUMPRODUCT(('Projects Overview'!$B$2:$B$5021="Annular Piston")*('Projects Overview'!$G$2:$G$5021="Risk Release")*('Projects Overview'!T$2:T$5021))</f>
        <v>0</v>
      </c>
      <c r="L16" s="104" cm="1">
        <f t="array" ref="L16">SUMPRODUCT(('Projects Overview'!$B$2:$B$5021="Annular Piston")*('Projects Overview'!$G$2:$G$5021="Risk Release")*('Projects Overview'!U$2:U$5021))</f>
        <v>0</v>
      </c>
      <c r="M16" s="104" cm="1">
        <f t="array" ref="M16">SUMPRODUCT(('Projects Overview'!$B$2:$B$5021="Annular Piston")*('Projects Overview'!$G$2:$G$5021="Risk Release")*('Projects Overview'!V$2:V$5021))</f>
        <v>0</v>
      </c>
      <c r="N16" s="104" cm="1">
        <f t="array" ref="N16">SUMPRODUCT(('Projects Overview'!$B$2:$B$5021="Annular Piston")*('Projects Overview'!$G$2:$G$5021="Risk Release")*('Projects Overview'!W$2:W$5021))</f>
        <v>0</v>
      </c>
      <c r="O16" s="104" cm="1">
        <f t="array" ref="O16">SUMPRODUCT(('Projects Overview'!$B$2:$B$5021="Annular Piston")*('Projects Overview'!$G$2:$G$5021="Risk Release")*('Projects Overview'!X$2:X$5021))</f>
        <v>0</v>
      </c>
      <c r="P16" s="104" cm="1">
        <f t="array" ref="P16">SUMPRODUCT(('Projects Overview'!$B$2:$B$5021="Annular Piston")*('Projects Overview'!$G$2:$G$5021="Risk Release")*('Projects Overview'!Y$2:Y$5021))</f>
        <v>0</v>
      </c>
      <c r="Q16" s="104" cm="1">
        <f t="array" ref="Q16">SUMPRODUCT(('Projects Overview'!$B$2:$B$5021="Annular Piston")*('Projects Overview'!$G$2:$G$5021="Risk Release")*('Projects Overview'!Z$2:Z$5021))</f>
        <v>0</v>
      </c>
      <c r="R16" s="104" cm="1">
        <f t="array" ref="R16">SUMPRODUCT(('Projects Overview'!$B$2:$B$5021="Annular Piston")*('Projects Overview'!$G$2:$G$5021="Risk Release")*('Projects Overview'!AA$2:AA$5021))</f>
        <v>0</v>
      </c>
      <c r="S16" s="104" cm="1">
        <f t="array" ref="S16">SUMPRODUCT(('Projects Overview'!$B$2:$B$5021="Annular Piston")*('Projects Overview'!$G$2:$G$5021="Risk Release")*('Projects Overview'!AB$2:AB$5021))</f>
        <v>0</v>
      </c>
      <c r="T16" s="104" cm="1">
        <f t="array" ref="T16">SUMPRODUCT(('Projects Overview'!$B$2:$B$5021="Annular Piston")*('Projects Overview'!$G$2:$G$5021="Risk Release")*('Projects Overview'!AC$2:AC$5021))</f>
        <v>0</v>
      </c>
      <c r="U16" s="104" cm="1">
        <f t="array" ref="U16">SUMPRODUCT(('Projects Overview'!$B$2:$B$5021="Annular Piston")*('Projects Overview'!$G$2:$G$5021="Risk Release")*('Projects Overview'!AD$2:AD$5021))</f>
        <v>0</v>
      </c>
      <c r="V16" s="104" cm="1">
        <f t="array" ref="V16">SUMPRODUCT(('Projects Overview'!$B$2:$B$5021="Annular Piston")*('Projects Overview'!$G$2:$G$5021="Risk Release")*('Projects Overview'!AE$2:AE$5021))</f>
        <v>0</v>
      </c>
      <c r="W16" s="104" cm="1">
        <f t="array" ref="W16">SUMPRODUCT(('Projects Overview'!$B$2:$B$5021="Annular Piston")*('Projects Overview'!$G$2:$G$5021="Risk Release")*('Projects Overview'!AF$2:AF$5021))</f>
        <v>0</v>
      </c>
      <c r="X16" s="104" cm="1">
        <f t="array" ref="X16">SUMPRODUCT(('Projects Overview'!$B$2:$B$5021="Annular Piston")*('Projects Overview'!$G$2:$G$5021="Risk Release")*('Projects Overview'!AG$2:AG$5021))</f>
        <v>0</v>
      </c>
      <c r="Y16" s="104" cm="1">
        <f t="array" ref="Y16">SUMPRODUCT(('Projects Overview'!$B$2:$B$5021="Annular Piston")*('Projects Overview'!$G$2:$G$5021="Risk Release")*('Projects Overview'!AH$2:AH$5021))</f>
        <v>0</v>
      </c>
      <c r="Z16" s="104" cm="1">
        <f t="array" ref="Z16">SUMPRODUCT(('Projects Overview'!$B$2:$B$5021="Annular Piston")*('Projects Overview'!$G$2:$G$5021="Risk Release")*('Projects Overview'!AI$2:AI$5021))</f>
        <v>0</v>
      </c>
      <c r="AA16" s="104" cm="1">
        <f t="array" ref="AA16">SUMPRODUCT(('Projects Overview'!$B$2:$B$5021="Annular Piston")*('Projects Overview'!$G$2:$G$5021="Risk Release")*('Projects Overview'!AJ$2:AJ$5021))</f>
        <v>0</v>
      </c>
      <c r="AB16" s="104" cm="1">
        <f t="array" ref="AB16">SUMPRODUCT(('Projects Overview'!$B$2:$B$5021="Annular Piston")*('Projects Overview'!$G$2:$G$5021="Risk Release")*('Projects Overview'!AK$2:AK$5021))</f>
        <v>0</v>
      </c>
      <c r="AC16" s="104" cm="1">
        <f t="array" ref="AC16">SUMPRODUCT(('Projects Overview'!$B$2:$B$5021="Annular Piston")*('Projects Overview'!$G$2:$G$5021="Risk Release")*('Projects Overview'!AL$2:AL$5021))</f>
        <v>0</v>
      </c>
      <c r="AD16" s="104" cm="1">
        <f t="array" ref="AD16">SUMPRODUCT(('Projects Overview'!$B$2:$B$5021="Annular Piston")*('Projects Overview'!$G$2:$G$5021="Risk Release")*('Projects Overview'!AM$2:AM$5021))</f>
        <v>0</v>
      </c>
      <c r="AE16" s="104" cm="1">
        <f t="array" ref="AE16">SUMPRODUCT(('Projects Overview'!$B$2:$B$5021="Annular Piston")*('Projects Overview'!$G$2:$G$5021="Risk Release")*('Projects Overview'!AN$2:AN$5021))</f>
        <v>0</v>
      </c>
      <c r="AF16" s="104" cm="1">
        <f t="array" ref="AF16">SUMPRODUCT(('Projects Overview'!$B$2:$B$5021="Annular Piston")*('Projects Overview'!$G$2:$G$5021="Risk Release")*('Projects Overview'!AO$2:AO$5021))</f>
        <v>0</v>
      </c>
      <c r="AG16" s="104" cm="1">
        <f t="array" ref="AG16">SUMPRODUCT(('Projects Overview'!$B$2:$B$5021="Annular Piston")*('Projects Overview'!$G$2:$G$5021="Risk Release")*('Projects Overview'!AP$2:AP$5021))</f>
        <v>0</v>
      </c>
      <c r="AH16" s="104" cm="1">
        <f t="array" ref="AH16">SUMPRODUCT(('Projects Overview'!$B$2:$B$5021="Annular Piston")*('Projects Overview'!$G$2:$G$5021="Risk Release")*('Projects Overview'!AQ$2:AQ$5021))</f>
        <v>0</v>
      </c>
      <c r="AI16" s="104" cm="1">
        <f t="array" ref="AI16">SUMPRODUCT(('Projects Overview'!$B$2:$B$5021="Annular Piston")*('Projects Overview'!$G$2:$G$5021="Risk Release")*('Projects Overview'!AR$2:AR$5021))</f>
        <v>0</v>
      </c>
      <c r="AJ16" s="104" cm="1">
        <f t="array" ref="AJ16">SUMPRODUCT(('Projects Overview'!$B$2:$B$5021="Annular Piston")*('Projects Overview'!$G$2:$G$5021="Risk Release")*('Projects Overview'!AS$2:AS$5021))</f>
        <v>0</v>
      </c>
      <c r="AK16" s="104" cm="1">
        <f t="array" ref="AK16">SUMPRODUCT(('Projects Overview'!$B$2:$B$5021="Annular Piston")*('Projects Overview'!$G$2:$G$5021="Risk Release")*('Projects Overview'!AT$2:AT$5021))</f>
        <v>0</v>
      </c>
      <c r="AL16" s="104" cm="1">
        <f t="array" ref="AL16">SUMPRODUCT(('Projects Overview'!$B$2:$B$5021="Annular Piston")*('Projects Overview'!$G$2:$G$5021="Risk Release")*('Projects Overview'!AU$2:AU$5021))</f>
        <v>0</v>
      </c>
      <c r="AM16" s="104" cm="1">
        <f t="array" ref="AM16">SUMPRODUCT(('Projects Overview'!$B$2:$B$5021="Annular Piston")*('Projects Overview'!$G$2:$G$5021="Risk Release")*('Projects Overview'!AV$2:AV$5021))</f>
        <v>0</v>
      </c>
      <c r="AN16" s="9"/>
      <c r="AO16" s="9"/>
      <c r="AP16" s="9"/>
      <c r="BE16" s="14" t="s">
        <v>349</v>
      </c>
      <c r="BF16" s="19">
        <f>SUM(AQ47:AT47)/1000</f>
        <v>8.0739999999999998</v>
      </c>
      <c r="BG16" s="21">
        <f>SUM(AU47:AX47)/1000</f>
        <v>1.4</v>
      </c>
      <c r="BH16" s="21">
        <f>SUM(AY47:BB47)/1000</f>
        <v>0</v>
      </c>
    </row>
    <row r="17" spans="1:60" x14ac:dyDescent="0.35">
      <c r="A17" s="222"/>
      <c r="B17" s="242"/>
      <c r="C17" s="3" t="s">
        <v>8</v>
      </c>
      <c r="D17" s="104">
        <v>0</v>
      </c>
      <c r="E17" s="104">
        <v>0</v>
      </c>
      <c r="F17" s="104">
        <v>0</v>
      </c>
      <c r="G17" s="104">
        <v>0</v>
      </c>
      <c r="H17" s="104">
        <v>0</v>
      </c>
      <c r="I17" s="104" cm="1">
        <f t="array" ref="I17">SUMPRODUCT(('Projects Overview'!$B$2:$B$5021="Annular Piston")*('Projects Overview'!$G$2:$G$5021="Forecast")*('Projects Overview'!R$2:R$5021))</f>
        <v>0</v>
      </c>
      <c r="J17" s="104" cm="1">
        <f t="array" ref="J17">SUMPRODUCT(('Projects Overview'!$B$2:$B$5021="Annular Piston")*('Projects Overview'!$G$2:$G$5021="Forecast")*('Projects Overview'!S$2:S$5021))</f>
        <v>0</v>
      </c>
      <c r="K17" s="104" cm="1">
        <f t="array" ref="K17">SUMPRODUCT(('Projects Overview'!$B$2:$B$5021="Annular Piston")*('Projects Overview'!$G$2:$G$5021="Forecast")*('Projects Overview'!T$2:T$5021))</f>
        <v>0</v>
      </c>
      <c r="L17" s="104" cm="1">
        <f t="array" ref="L17">SUMPRODUCT(('Projects Overview'!$B$2:$B$5021="Annular Piston")*('Projects Overview'!$G$2:$G$5021="Forecast")*('Projects Overview'!U$2:U$5021))</f>
        <v>0</v>
      </c>
      <c r="M17" s="104" cm="1">
        <f t="array" ref="M17">SUMPRODUCT(('Projects Overview'!$B$2:$B$5021="Annular Piston")*('Projects Overview'!$G$2:$G$5021="Forecast")*('Projects Overview'!V$2:V$5021))</f>
        <v>0</v>
      </c>
      <c r="N17" s="104" cm="1">
        <f t="array" ref="N17">SUMPRODUCT(('Projects Overview'!$B$2:$B$5021="Annular Piston")*('Projects Overview'!$G$2:$G$5021="Forecast")*('Projects Overview'!W$2:W$5021))</f>
        <v>0</v>
      </c>
      <c r="O17" s="104" cm="1">
        <f t="array" ref="O17">SUMPRODUCT(('Projects Overview'!$B$2:$B$5021="Annular Piston")*('Projects Overview'!$G$2:$G$5021="Forecast")*('Projects Overview'!X$2:X$5021))</f>
        <v>0</v>
      </c>
      <c r="P17" s="104" cm="1">
        <f t="array" ref="P17">SUMPRODUCT(('Projects Overview'!$B$2:$B$5021="Annular Piston")*('Projects Overview'!$G$2:$G$5021="Forecast")*('Projects Overview'!Y$2:Y$5021))</f>
        <v>0</v>
      </c>
      <c r="Q17" s="104" cm="1">
        <f t="array" ref="Q17">SUMPRODUCT(('Projects Overview'!$B$2:$B$5021="Annular Piston")*('Projects Overview'!$G$2:$G$5021="Forecast")*('Projects Overview'!Z$2:Z$5021))</f>
        <v>0</v>
      </c>
      <c r="R17" s="104" cm="1">
        <f t="array" ref="R17">SUMPRODUCT(('Projects Overview'!$B$2:$B$5021="Annular Piston")*('Projects Overview'!$G$2:$G$5021="Forecast")*('Projects Overview'!AA$2:AA$5021))</f>
        <v>0</v>
      </c>
      <c r="S17" s="104" cm="1">
        <f t="array" ref="S17">SUMPRODUCT(('Projects Overview'!$B$2:$B$5021="Annular Piston")*('Projects Overview'!$G$2:$G$5021="Forecast")*('Projects Overview'!AB$2:AB$5021))</f>
        <v>0</v>
      </c>
      <c r="T17" s="104" cm="1">
        <f t="array" ref="T17">SUMPRODUCT(('Projects Overview'!$B$2:$B$5021="Annular Piston")*('Projects Overview'!$G$2:$G$5021="Forecast")*('Projects Overview'!AC$2:AC$5021))</f>
        <v>0</v>
      </c>
      <c r="U17" s="104" cm="1">
        <f t="array" ref="U17">SUMPRODUCT(('Projects Overview'!$B$2:$B$5021="Annular Piston")*('Projects Overview'!$G$2:$G$5021="Forecast")*('Projects Overview'!AD$2:AD$5021))</f>
        <v>0</v>
      </c>
      <c r="V17" s="104" cm="1">
        <f t="array" ref="V17">SUMPRODUCT(('Projects Overview'!$B$2:$B$5021="Annular Piston")*('Projects Overview'!$G$2:$G$5021="Forecast")*('Projects Overview'!AE$2:AE$5021))</f>
        <v>0</v>
      </c>
      <c r="W17" s="104" cm="1">
        <f t="array" ref="W17">SUMPRODUCT(('Projects Overview'!$B$2:$B$5021="Annular Piston")*('Projects Overview'!$G$2:$G$5021="Forecast")*('Projects Overview'!AF$2:AF$5021))</f>
        <v>0</v>
      </c>
      <c r="X17" s="104" cm="1">
        <f t="array" ref="X17">SUMPRODUCT(('Projects Overview'!$B$2:$B$5021="Annular Piston")*('Projects Overview'!$G$2:$G$5021="Forecast")*('Projects Overview'!AG$2:AG$5021))</f>
        <v>0</v>
      </c>
      <c r="Y17" s="104" cm="1">
        <f t="array" ref="Y17">SUMPRODUCT(('Projects Overview'!$B$2:$B$5021="Annular Piston")*('Projects Overview'!$G$2:$G$5021="Forecast")*('Projects Overview'!AH$2:AH$5021))</f>
        <v>0</v>
      </c>
      <c r="Z17" s="104" cm="1">
        <f t="array" ref="Z17">SUMPRODUCT(('Projects Overview'!$B$2:$B$5021="Annular Piston")*('Projects Overview'!$G$2:$G$5021="Forecast")*('Projects Overview'!AI$2:AI$5021))</f>
        <v>0</v>
      </c>
      <c r="AA17" s="104" cm="1">
        <f t="array" ref="AA17">SUMPRODUCT(('Projects Overview'!$B$2:$B$5021="Annular Piston")*('Projects Overview'!$G$2:$G$5021="Forecast")*('Projects Overview'!AJ$2:AJ$5021))</f>
        <v>0</v>
      </c>
      <c r="AB17" s="104" cm="1">
        <f t="array" ref="AB17">SUMPRODUCT(('Projects Overview'!$B$2:$B$5021="Annular Piston")*('Projects Overview'!$G$2:$G$5021="Forecast")*('Projects Overview'!AK$2:AK$5021))</f>
        <v>0</v>
      </c>
      <c r="AC17" s="104" cm="1">
        <f t="array" ref="AC17">SUMPRODUCT(('Projects Overview'!$B$2:$B$5021="Annular Piston")*('Projects Overview'!$G$2:$G$5021="Forecast")*('Projects Overview'!AL$2:AL$5021))</f>
        <v>0</v>
      </c>
      <c r="AD17" s="104" cm="1">
        <f t="array" ref="AD17">SUMPRODUCT(('Projects Overview'!$B$2:$B$5021="Annular Piston")*('Projects Overview'!$G$2:$G$5021="Forecast")*('Projects Overview'!AM$2:AM$5021))</f>
        <v>0</v>
      </c>
      <c r="AE17" s="104" cm="1">
        <f t="array" ref="AE17">SUMPRODUCT(('Projects Overview'!$B$2:$B$5021="Annular Piston")*('Projects Overview'!$G$2:$G$5021="Forecast")*('Projects Overview'!AN$2:AN$5021))</f>
        <v>0</v>
      </c>
      <c r="AF17" s="104" cm="1">
        <f t="array" ref="AF17">SUMPRODUCT(('Projects Overview'!$B$2:$B$5021="Annular Piston")*('Projects Overview'!$G$2:$G$5021="Forecast")*('Projects Overview'!AO$2:AO$5021))</f>
        <v>0</v>
      </c>
      <c r="AG17" s="104" cm="1">
        <f t="array" ref="AG17">SUMPRODUCT(('Projects Overview'!$B$2:$B$5021="Annular Piston")*('Projects Overview'!$G$2:$G$5021="Forecast")*('Projects Overview'!AP$2:AP$5021))</f>
        <v>0</v>
      </c>
      <c r="AH17" s="104" cm="1">
        <f t="array" ref="AH17">SUMPRODUCT(('Projects Overview'!$B$2:$B$5021="Annular Piston")*('Projects Overview'!$G$2:$G$5021="Forecast")*('Projects Overview'!AQ$2:AQ$5021))</f>
        <v>0</v>
      </c>
      <c r="AI17" s="104" cm="1">
        <f t="array" ref="AI17">SUMPRODUCT(('Projects Overview'!$B$2:$B$5021="Annular Piston")*('Projects Overview'!$G$2:$G$5021="Forecast")*('Projects Overview'!AR$2:AR$5021))</f>
        <v>0</v>
      </c>
      <c r="AJ17" s="104" cm="1">
        <f t="array" ref="AJ17">SUMPRODUCT(('Projects Overview'!$B$2:$B$5021="Annular Piston")*('Projects Overview'!$G$2:$G$5021="Forecast")*('Projects Overview'!AS$2:AS$5021))</f>
        <v>0</v>
      </c>
      <c r="AK17" s="104" cm="1">
        <f t="array" ref="AK17">SUMPRODUCT(('Projects Overview'!$B$2:$B$5021="Annular Piston")*('Projects Overview'!$G$2:$G$5021="Forecast")*('Projects Overview'!AT$2:AT$5021))</f>
        <v>0</v>
      </c>
      <c r="AL17" s="104" cm="1">
        <f t="array" ref="AL17">SUMPRODUCT(('Projects Overview'!$B$2:$B$5021="Annular Piston")*('Projects Overview'!$G$2:$G$5021="Forecast")*('Projects Overview'!AU$2:AU$5021))</f>
        <v>0</v>
      </c>
      <c r="AM17" s="104" cm="1">
        <f t="array" ref="AM17">SUMPRODUCT(('Projects Overview'!$B$2:$B$5021="Annular Piston")*('Projects Overview'!$G$2:$G$5021="Forecast")*('Projects Overview'!AV$2:AV$5021))</f>
        <v>0</v>
      </c>
      <c r="AN17" s="9"/>
      <c r="AO17" s="9"/>
      <c r="AP17" s="9"/>
      <c r="BE17" s="14" t="s">
        <v>350</v>
      </c>
      <c r="BF17" s="19">
        <f>SUM(AQ51:AT51)/1000</f>
        <v>0</v>
      </c>
      <c r="BG17" s="21">
        <f>SUM(AU51:AX51)/1000</f>
        <v>0</v>
      </c>
      <c r="BH17" s="21">
        <f>SUM(AY51:BB51)/1000</f>
        <v>0</v>
      </c>
    </row>
    <row r="18" spans="1:60" ht="15" thickBot="1" x14ac:dyDescent="0.4">
      <c r="A18" s="222"/>
      <c r="B18" s="232" t="s">
        <v>101</v>
      </c>
      <c r="C18" s="1" t="s">
        <v>4</v>
      </c>
      <c r="D18" s="104">
        <v>0</v>
      </c>
      <c r="E18" s="104">
        <v>0</v>
      </c>
      <c r="F18" s="104">
        <v>0</v>
      </c>
      <c r="G18" s="104">
        <v>0</v>
      </c>
      <c r="H18" s="104">
        <v>0</v>
      </c>
      <c r="I18" s="104" cm="1">
        <f t="array" ref="I18">SUMPRODUCT(('Projects Overview'!$B$2:$B$5021="Male Stab")*('Projects Overview'!$G$2:$G$5021="Firm")*('Projects Overview'!R$2:R$5021))</f>
        <v>0</v>
      </c>
      <c r="J18" s="104" cm="1">
        <f t="array" ref="J18">SUMPRODUCT(('Projects Overview'!$B$2:$B$5021="Male Stab")*('Projects Overview'!$G$2:$G$5021="Firm")*('Projects Overview'!S$2:S$5021))</f>
        <v>0</v>
      </c>
      <c r="K18" s="104" cm="1">
        <f t="array" ref="K18">SUMPRODUCT(('Projects Overview'!$B$2:$B$5021="Male Stab")*('Projects Overview'!$G$2:$G$5021="Firm")*('Projects Overview'!T$2:T$5021))</f>
        <v>0</v>
      </c>
      <c r="L18" s="104" cm="1">
        <f t="array" ref="L18">SUMPRODUCT(('Projects Overview'!$B$2:$B$5021="Male Stab")*('Projects Overview'!$G$2:$G$5021="Firm")*('Projects Overview'!U$2:U$5021))</f>
        <v>0</v>
      </c>
      <c r="M18" s="104" cm="1">
        <f t="array" ref="M18">SUMPRODUCT(('Projects Overview'!$B$2:$B$5021="Male Stab")*('Projects Overview'!$G$2:$G$5021="Firm")*('Projects Overview'!V$2:V$5021))</f>
        <v>0</v>
      </c>
      <c r="N18" s="104" cm="1">
        <f t="array" ref="N18">SUMPRODUCT(('Projects Overview'!$B$2:$B$5021="Male Stab")*('Projects Overview'!$G$2:$G$5021="Firm")*('Projects Overview'!W$2:W$5021))</f>
        <v>0</v>
      </c>
      <c r="O18" s="104" cm="1">
        <f t="array" ref="O18">SUMPRODUCT(('Projects Overview'!$B$2:$B$5021="Male Stab")*('Projects Overview'!$G$2:$G$5021="Firm")*('Projects Overview'!X$2:X$5021))</f>
        <v>0</v>
      </c>
      <c r="P18" s="104" cm="1">
        <f t="array" ref="P18">SUMPRODUCT(('Projects Overview'!$B$2:$B$5021="Male Stab")*('Projects Overview'!$G$2:$G$5021="Firm")*('Projects Overview'!Y$2:Y$5021))</f>
        <v>0</v>
      </c>
      <c r="Q18" s="104" cm="1">
        <f t="array" ref="Q18">SUMPRODUCT(('Projects Overview'!$B$2:$B$5021="Male Stab")*('Projects Overview'!$G$2:$G$5021="Firm")*('Projects Overview'!Z$2:Z$5021))</f>
        <v>0</v>
      </c>
      <c r="R18" s="104" cm="1">
        <f t="array" ref="R18">SUMPRODUCT(('Projects Overview'!$B$2:$B$5021="Male Stab")*('Projects Overview'!$G$2:$G$5021="Firm")*('Projects Overview'!AA$2:AA$5021))</f>
        <v>0</v>
      </c>
      <c r="S18" s="104" cm="1">
        <f t="array" ref="S18">SUMPRODUCT(('Projects Overview'!$B$2:$B$5021="Male Stab")*('Projects Overview'!$G$2:$G$5021="Firm")*('Projects Overview'!AB$2:AB$5021))</f>
        <v>0</v>
      </c>
      <c r="T18" s="104" cm="1">
        <f t="array" ref="T18">SUMPRODUCT(('Projects Overview'!$B$2:$B$5021="Male Stab")*('Projects Overview'!$G$2:$G$5021="Firm")*('Projects Overview'!AC$2:AC$5021))</f>
        <v>0</v>
      </c>
      <c r="U18" s="104" cm="1">
        <f t="array" ref="U18">SUMPRODUCT(('Projects Overview'!$B$2:$B$5021="Male Stab")*('Projects Overview'!$G$2:$G$5021="Firm")*('Projects Overview'!AD$2:AD$5021))</f>
        <v>0</v>
      </c>
      <c r="V18" s="104" cm="1">
        <f t="array" ref="V18">SUMPRODUCT(('Projects Overview'!$B$2:$B$5021="Male Stab")*('Projects Overview'!$G$2:$G$5021="Firm")*('Projects Overview'!AE$2:AE$5021))</f>
        <v>0</v>
      </c>
      <c r="W18" s="104" cm="1">
        <f t="array" ref="W18">SUMPRODUCT(('Projects Overview'!$B$2:$B$5021="Male Stab")*('Projects Overview'!$G$2:$G$5021="Firm")*('Projects Overview'!AF$2:AF$5021))</f>
        <v>0</v>
      </c>
      <c r="X18" s="104" cm="1">
        <f t="array" ref="X18">SUMPRODUCT(('Projects Overview'!$B$2:$B$5021="Male Stab")*('Projects Overview'!$G$2:$G$5021="Firm")*('Projects Overview'!AG$2:AG$5021))</f>
        <v>0</v>
      </c>
      <c r="Y18" s="104" cm="1">
        <f t="array" ref="Y18">SUMPRODUCT(('Projects Overview'!$B$2:$B$5021="Male Stab")*('Projects Overview'!$G$2:$G$5021="Firm")*('Projects Overview'!AH$2:AH$5021))</f>
        <v>0</v>
      </c>
      <c r="Z18" s="104" cm="1">
        <f t="array" ref="Z18">SUMPRODUCT(('Projects Overview'!$B$2:$B$5021="Male Stab")*('Projects Overview'!$G$2:$G$5021="Firm")*('Projects Overview'!AI$2:AI$5021))</f>
        <v>0</v>
      </c>
      <c r="AA18" s="104" cm="1">
        <f t="array" ref="AA18">SUMPRODUCT(('Projects Overview'!$B$2:$B$5021="Male Stab")*('Projects Overview'!$G$2:$G$5021="Firm")*('Projects Overview'!AJ$2:AJ$5021))</f>
        <v>0</v>
      </c>
      <c r="AB18" s="104" cm="1">
        <f t="array" ref="AB18">SUMPRODUCT(('Projects Overview'!$B$2:$B$5021="Male Stab")*('Projects Overview'!$G$2:$G$5021="Firm")*('Projects Overview'!AK$2:AK$5021))</f>
        <v>0</v>
      </c>
      <c r="AC18" s="104" cm="1">
        <f t="array" ref="AC18">SUMPRODUCT(('Projects Overview'!$B$2:$B$5021="Male Stab")*('Projects Overview'!$G$2:$G$5021="Firm")*('Projects Overview'!AL$2:AL$5021))</f>
        <v>0</v>
      </c>
      <c r="AD18" s="104" cm="1">
        <f t="array" ref="AD18">SUMPRODUCT(('Projects Overview'!$B$2:$B$5021="Male Stab")*('Projects Overview'!$G$2:$G$5021="Firm")*('Projects Overview'!AM$2:AM$5021))</f>
        <v>0</v>
      </c>
      <c r="AE18" s="104" cm="1">
        <f t="array" ref="AE18">SUMPRODUCT(('Projects Overview'!$B$2:$B$5021="Male Stab")*('Projects Overview'!$G$2:$G$5021="Firm")*('Projects Overview'!AN$2:AN$5021))</f>
        <v>0</v>
      </c>
      <c r="AF18" s="104" cm="1">
        <f t="array" ref="AF18">SUMPRODUCT(('Projects Overview'!$B$2:$B$5021="Male Stab")*('Projects Overview'!$G$2:$G$5021="Firm")*('Projects Overview'!AO$2:AO$5021))</f>
        <v>0</v>
      </c>
      <c r="AG18" s="104" cm="1">
        <f t="array" ref="AG18">SUMPRODUCT(('Projects Overview'!$B$2:$B$5021="Male Stab")*('Projects Overview'!$G$2:$G$5021="Firm")*('Projects Overview'!AP$2:AP$5021))</f>
        <v>0</v>
      </c>
      <c r="AH18" s="104" cm="1">
        <f t="array" ref="AH18">SUMPRODUCT(('Projects Overview'!$B$2:$B$5021="Male Stab")*('Projects Overview'!$G$2:$G$5021="Firm")*('Projects Overview'!AQ$2:AQ$5021))</f>
        <v>0</v>
      </c>
      <c r="AI18" s="104" cm="1">
        <f t="array" ref="AI18">SUMPRODUCT(('Projects Overview'!$B$2:$B$5021="Male Stab")*('Projects Overview'!$G$2:$G$5021="Firm")*('Projects Overview'!AR$2:AR$5021))</f>
        <v>0</v>
      </c>
      <c r="AJ18" s="104" cm="1">
        <f t="array" ref="AJ18">SUMPRODUCT(('Projects Overview'!$B$2:$B$5021="Male Stab")*('Projects Overview'!$G$2:$G$5021="Firm")*('Projects Overview'!AS$2:AS$5021))</f>
        <v>0</v>
      </c>
      <c r="AK18" s="104" cm="1">
        <f t="array" ref="AK18">SUMPRODUCT(('Projects Overview'!$B$2:$B$5021="Male Stab")*('Projects Overview'!$G$2:$G$5021="Firm")*('Projects Overview'!AT$2:AT$5021))</f>
        <v>0</v>
      </c>
      <c r="AL18" s="104" cm="1">
        <f t="array" ref="AL18">SUMPRODUCT(('Projects Overview'!$B$2:$B$5021="Male Stab")*('Projects Overview'!$G$2:$G$5021="Firm")*('Projects Overview'!AU$2:AU$5021))</f>
        <v>0</v>
      </c>
      <c r="AM18" s="104" cm="1">
        <f t="array" ref="AM18">SUMPRODUCT(('Projects Overview'!$B$2:$B$5021="Male Stab")*('Projects Overview'!$G$2:$G$5021="Firm")*('Projects Overview'!AV$2:AV$5021))</f>
        <v>0</v>
      </c>
      <c r="AN18" s="9"/>
      <c r="AO18" s="9"/>
      <c r="AP18" s="9"/>
      <c r="BE18" s="14" t="s">
        <v>351</v>
      </c>
      <c r="BF18" s="17">
        <f>SUM(AQ55:AT55)/1000</f>
        <v>0</v>
      </c>
      <c r="BG18" s="21">
        <f>SUM(AU55:AX55)/1000</f>
        <v>6.19</v>
      </c>
      <c r="BH18" s="21">
        <f>SUM(AY55:BB55)/1000</f>
        <v>0</v>
      </c>
    </row>
    <row r="19" spans="1:60" ht="15" thickBot="1" x14ac:dyDescent="0.4">
      <c r="A19" s="222"/>
      <c r="B19" s="227"/>
      <c r="C19" s="2" t="s">
        <v>6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 cm="1">
        <f t="array" ref="I19">SUMPRODUCT(('Projects Overview'!$B$2:$B$5021="Male Stab")*('Projects Overview'!$G$2:$G$5021="Risk Release")*('Projects Overview'!R$2:R$5021))</f>
        <v>0</v>
      </c>
      <c r="J19" s="104" cm="1">
        <f t="array" ref="J19">SUMPRODUCT(('Projects Overview'!$B$2:$B$5021="Male Stab")*('Projects Overview'!$G$2:$G$5021="Risk Release")*('Projects Overview'!S$2:S$5021))</f>
        <v>0</v>
      </c>
      <c r="K19" s="104" cm="1">
        <f t="array" ref="K19">SUMPRODUCT(('Projects Overview'!$B$2:$B$5021="Male Stab")*('Projects Overview'!$G$2:$G$5021="Risk Release")*('Projects Overview'!T$2:T$5021))</f>
        <v>0</v>
      </c>
      <c r="L19" s="104" cm="1">
        <f t="array" ref="L19">SUMPRODUCT(('Projects Overview'!$B$2:$B$5021="Male Stab")*('Projects Overview'!$G$2:$G$5021="Risk Release")*('Projects Overview'!U$2:U$5021))</f>
        <v>0</v>
      </c>
      <c r="M19" s="104" cm="1">
        <f t="array" ref="M19">SUMPRODUCT(('Projects Overview'!$B$2:$B$5021="Male Stab")*('Projects Overview'!$G$2:$G$5021="Risk Release")*('Projects Overview'!V$2:V$5021))</f>
        <v>0</v>
      </c>
      <c r="N19" s="104" cm="1">
        <f t="array" ref="N19">SUMPRODUCT(('Projects Overview'!$B$2:$B$5021="Male Stab")*('Projects Overview'!$G$2:$G$5021="Risk Release")*('Projects Overview'!W$2:W$5021))</f>
        <v>0</v>
      </c>
      <c r="O19" s="104" cm="1">
        <f t="array" ref="O19">SUMPRODUCT(('Projects Overview'!$B$2:$B$5021="Male Stab")*('Projects Overview'!$G$2:$G$5021="Risk Release")*('Projects Overview'!X$2:X$5021))</f>
        <v>0</v>
      </c>
      <c r="P19" s="104" cm="1">
        <f t="array" ref="P19">SUMPRODUCT(('Projects Overview'!$B$2:$B$5021="Male Stab")*('Projects Overview'!$G$2:$G$5021="Risk Release")*('Projects Overview'!Y$2:Y$5021))</f>
        <v>0</v>
      </c>
      <c r="Q19" s="104" cm="1">
        <f t="array" ref="Q19">SUMPRODUCT(('Projects Overview'!$B$2:$B$5021="Male Stab")*('Projects Overview'!$G$2:$G$5021="Risk Release")*('Projects Overview'!Z$2:Z$5021))</f>
        <v>0</v>
      </c>
      <c r="R19" s="104" cm="1">
        <f t="array" ref="R19">SUMPRODUCT(('Projects Overview'!$B$2:$B$5021="Male Stab")*('Projects Overview'!$G$2:$G$5021="Risk Release")*('Projects Overview'!AA$2:AA$5021))</f>
        <v>0</v>
      </c>
      <c r="S19" s="104" cm="1">
        <f t="array" ref="S19">SUMPRODUCT(('Projects Overview'!$B$2:$B$5021="Male Stab")*('Projects Overview'!$G$2:$G$5021="Risk Release")*('Projects Overview'!AB$2:AB$5021))</f>
        <v>0</v>
      </c>
      <c r="T19" s="104" cm="1">
        <f t="array" ref="T19">SUMPRODUCT(('Projects Overview'!$B$2:$B$5021="Male Stab")*('Projects Overview'!$G$2:$G$5021="Risk Release")*('Projects Overview'!AC$2:AC$5021))</f>
        <v>0</v>
      </c>
      <c r="U19" s="104" cm="1">
        <f t="array" ref="U19">SUMPRODUCT(('Projects Overview'!$B$2:$B$5021="Male Stab")*('Projects Overview'!$G$2:$G$5021="Risk Release")*('Projects Overview'!AD$2:AD$5021))</f>
        <v>0</v>
      </c>
      <c r="V19" s="104" cm="1">
        <f t="array" ref="V19">SUMPRODUCT(('Projects Overview'!$B$2:$B$5021="Male Stab")*('Projects Overview'!$G$2:$G$5021="Risk Release")*('Projects Overview'!AE$2:AE$5021))</f>
        <v>0</v>
      </c>
      <c r="W19" s="104" cm="1">
        <f t="array" ref="W19">SUMPRODUCT(('Projects Overview'!$B$2:$B$5021="Male Stab")*('Projects Overview'!$G$2:$G$5021="Risk Release")*('Projects Overview'!AF$2:AF$5021))</f>
        <v>0</v>
      </c>
      <c r="X19" s="104" cm="1">
        <f t="array" ref="X19">SUMPRODUCT(('Projects Overview'!$B$2:$B$5021="Male Stab")*('Projects Overview'!$G$2:$G$5021="Risk Release")*('Projects Overview'!AG$2:AG$5021))</f>
        <v>0</v>
      </c>
      <c r="Y19" s="104" cm="1">
        <f t="array" ref="Y19">SUMPRODUCT(('Projects Overview'!$B$2:$B$5021="Male Stab")*('Projects Overview'!$G$2:$G$5021="Risk Release")*('Projects Overview'!AH$2:AH$5021))</f>
        <v>0</v>
      </c>
      <c r="Z19" s="104" cm="1">
        <f t="array" ref="Z19">SUMPRODUCT(('Projects Overview'!$B$2:$B$5021="Male Stab")*('Projects Overview'!$G$2:$G$5021="Risk Release")*('Projects Overview'!AI$2:AI$5021))</f>
        <v>0</v>
      </c>
      <c r="AA19" s="104" cm="1">
        <f t="array" ref="AA19">SUMPRODUCT(('Projects Overview'!$B$2:$B$5021="Male Stab")*('Projects Overview'!$G$2:$G$5021="Risk Release")*('Projects Overview'!AJ$2:AJ$5021))</f>
        <v>0</v>
      </c>
      <c r="AB19" s="104" cm="1">
        <f t="array" ref="AB19">SUMPRODUCT(('Projects Overview'!$B$2:$B$5021="Male Stab")*('Projects Overview'!$G$2:$G$5021="Risk Release")*('Projects Overview'!AK$2:AK$5021))</f>
        <v>0</v>
      </c>
      <c r="AC19" s="104" cm="1">
        <f t="array" ref="AC19">SUMPRODUCT(('Projects Overview'!$B$2:$B$5021="Male Stab")*('Projects Overview'!$G$2:$G$5021="Risk Release")*('Projects Overview'!AL$2:AL$5021))</f>
        <v>0</v>
      </c>
      <c r="AD19" s="104" cm="1">
        <f t="array" ref="AD19">SUMPRODUCT(('Projects Overview'!$B$2:$B$5021="Male Stab")*('Projects Overview'!$G$2:$G$5021="Risk Release")*('Projects Overview'!AM$2:AM$5021))</f>
        <v>0</v>
      </c>
      <c r="AE19" s="104" cm="1">
        <f t="array" ref="AE19">SUMPRODUCT(('Projects Overview'!$B$2:$B$5021="Male Stab")*('Projects Overview'!$G$2:$G$5021="Risk Release")*('Projects Overview'!AN$2:AN$5021))</f>
        <v>0</v>
      </c>
      <c r="AF19" s="104" cm="1">
        <f t="array" ref="AF19">SUMPRODUCT(('Projects Overview'!$B$2:$B$5021="Male Stab")*('Projects Overview'!$G$2:$G$5021="Risk Release")*('Projects Overview'!AO$2:AO$5021))</f>
        <v>0</v>
      </c>
      <c r="AG19" s="104" cm="1">
        <f t="array" ref="AG19">SUMPRODUCT(('Projects Overview'!$B$2:$B$5021="Male Stab")*('Projects Overview'!$G$2:$G$5021="Risk Release")*('Projects Overview'!AP$2:AP$5021))</f>
        <v>0</v>
      </c>
      <c r="AH19" s="104" cm="1">
        <f t="array" ref="AH19">SUMPRODUCT(('Projects Overview'!$B$2:$B$5021="Male Stab")*('Projects Overview'!$G$2:$G$5021="Risk Release")*('Projects Overview'!AQ$2:AQ$5021))</f>
        <v>0</v>
      </c>
      <c r="AI19" s="104" cm="1">
        <f t="array" ref="AI19">SUMPRODUCT(('Projects Overview'!$B$2:$B$5021="Male Stab")*('Projects Overview'!$G$2:$G$5021="Risk Release")*('Projects Overview'!AR$2:AR$5021))</f>
        <v>0</v>
      </c>
      <c r="AJ19" s="104" cm="1">
        <f t="array" ref="AJ19">SUMPRODUCT(('Projects Overview'!$B$2:$B$5021="Male Stab")*('Projects Overview'!$G$2:$G$5021="Risk Release")*('Projects Overview'!AS$2:AS$5021))</f>
        <v>0</v>
      </c>
      <c r="AK19" s="104" cm="1">
        <f t="array" ref="AK19">SUMPRODUCT(('Projects Overview'!$B$2:$B$5021="Male Stab")*('Projects Overview'!$G$2:$G$5021="Risk Release")*('Projects Overview'!AT$2:AT$5021))</f>
        <v>0</v>
      </c>
      <c r="AL19" s="104" cm="1">
        <f t="array" ref="AL19">SUMPRODUCT(('Projects Overview'!$B$2:$B$5021="Male Stab")*('Projects Overview'!$G$2:$G$5021="Risk Release")*('Projects Overview'!AU$2:AU$5021))</f>
        <v>0</v>
      </c>
      <c r="AM19" s="104" cm="1">
        <f t="array" ref="AM19">SUMPRODUCT(('Projects Overview'!$B$2:$B$5021="Male Stab")*('Projects Overview'!$G$2:$G$5021="Risk Release")*('Projects Overview'!AV$2:AV$5021))</f>
        <v>0</v>
      </c>
      <c r="AN19" s="9"/>
      <c r="AO19" s="9"/>
      <c r="AP19" s="9"/>
      <c r="BE19" s="13" t="s">
        <v>352</v>
      </c>
      <c r="BF19" s="18">
        <f>SUM(BF16:BF18)</f>
        <v>8.0739999999999998</v>
      </c>
      <c r="BG19" s="18">
        <f>SUM(BG16:BG18)</f>
        <v>7.59</v>
      </c>
      <c r="BH19" s="18">
        <f>SUM(BH16:BH18)</f>
        <v>0</v>
      </c>
    </row>
    <row r="20" spans="1:60" ht="15" thickBot="1" x14ac:dyDescent="0.4">
      <c r="A20" s="222"/>
      <c r="B20" s="228"/>
      <c r="C20" s="3" t="s">
        <v>8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 cm="1">
        <f t="array" ref="I20">SUMPRODUCT(('Projects Overview'!$B$2:$B$5021="Male Stab")*('Projects Overview'!$G$2:$G$5021="Forecast")*('Projects Overview'!R$2:R$5021))</f>
        <v>0</v>
      </c>
      <c r="J20" s="104" cm="1">
        <f t="array" ref="J20">SUMPRODUCT(('Projects Overview'!$B$2:$B$5021="Male Stab")*('Projects Overview'!$G$2:$G$5021="Forecast")*('Projects Overview'!S$2:S$5021))</f>
        <v>0</v>
      </c>
      <c r="K20" s="104" cm="1">
        <f t="array" ref="K20">SUMPRODUCT(('Projects Overview'!$B$2:$B$5021="Male Stab")*('Projects Overview'!$G$2:$G$5021="Forecast")*('Projects Overview'!T$2:T$5021))</f>
        <v>0</v>
      </c>
      <c r="L20" s="104" cm="1">
        <f t="array" ref="L20">SUMPRODUCT(('Projects Overview'!$B$2:$B$5021="Male Stab")*('Projects Overview'!$G$2:$G$5021="Forecast")*('Projects Overview'!U$2:U$5021))</f>
        <v>0</v>
      </c>
      <c r="M20" s="104" cm="1">
        <f t="array" ref="M20">SUMPRODUCT(('Projects Overview'!$B$2:$B$5021="Male Stab")*('Projects Overview'!$G$2:$G$5021="Forecast")*('Projects Overview'!V$2:V$5021))</f>
        <v>0</v>
      </c>
      <c r="N20" s="104" cm="1">
        <f t="array" ref="N20">SUMPRODUCT(('Projects Overview'!$B$2:$B$5021="Male Stab")*('Projects Overview'!$G$2:$G$5021="Forecast")*('Projects Overview'!W$2:W$5021))</f>
        <v>0</v>
      </c>
      <c r="O20" s="104" cm="1">
        <f t="array" ref="O20">SUMPRODUCT(('Projects Overview'!$B$2:$B$5021="Male Stab")*('Projects Overview'!$G$2:$G$5021="Forecast")*('Projects Overview'!X$2:X$5021))</f>
        <v>0</v>
      </c>
      <c r="P20" s="104" cm="1">
        <f t="array" ref="P20">SUMPRODUCT(('Projects Overview'!$B$2:$B$5021="Male Stab")*('Projects Overview'!$G$2:$G$5021="Forecast")*('Projects Overview'!Y$2:Y$5021))</f>
        <v>0</v>
      </c>
      <c r="Q20" s="104" cm="1">
        <f t="array" ref="Q20">SUMPRODUCT(('Projects Overview'!$B$2:$B$5021="Male Stab")*('Projects Overview'!$G$2:$G$5021="Forecast")*('Projects Overview'!Z$2:Z$5021))</f>
        <v>0</v>
      </c>
      <c r="R20" s="104" cm="1">
        <f t="array" ref="R20">SUMPRODUCT(('Projects Overview'!$B$2:$B$5021="Male Stab")*('Projects Overview'!$G$2:$G$5021="Forecast")*('Projects Overview'!AA$2:AA$5021))</f>
        <v>0</v>
      </c>
      <c r="S20" s="104" cm="1">
        <f t="array" ref="S20">SUMPRODUCT(('Projects Overview'!$B$2:$B$5021="Male Stab")*('Projects Overview'!$G$2:$G$5021="Forecast")*('Projects Overview'!AB$2:AB$5021))</f>
        <v>0</v>
      </c>
      <c r="T20" s="104" cm="1">
        <f t="array" ref="T20">SUMPRODUCT(('Projects Overview'!$B$2:$B$5021="Male Stab")*('Projects Overview'!$G$2:$G$5021="Forecast")*('Projects Overview'!AC$2:AC$5021))</f>
        <v>0</v>
      </c>
      <c r="U20" s="104" cm="1">
        <f t="array" ref="U20">SUMPRODUCT(('Projects Overview'!$B$2:$B$5021="Male Stab")*('Projects Overview'!$G$2:$G$5021="Forecast")*('Projects Overview'!AD$2:AD$5021))</f>
        <v>0</v>
      </c>
      <c r="V20" s="104" cm="1">
        <f t="array" ref="V20">SUMPRODUCT(('Projects Overview'!$B$2:$B$5021="Male Stab")*('Projects Overview'!$G$2:$G$5021="Forecast")*('Projects Overview'!AE$2:AE$5021))</f>
        <v>0</v>
      </c>
      <c r="W20" s="104" cm="1">
        <f t="array" ref="W20">SUMPRODUCT(('Projects Overview'!$B$2:$B$5021="Male Stab")*('Projects Overview'!$G$2:$G$5021="Forecast")*('Projects Overview'!AF$2:AF$5021))</f>
        <v>0</v>
      </c>
      <c r="X20" s="104" cm="1">
        <f t="array" ref="X20">SUMPRODUCT(('Projects Overview'!$B$2:$B$5021="Male Stab")*('Projects Overview'!$G$2:$G$5021="Forecast")*('Projects Overview'!AG$2:AG$5021))</f>
        <v>0</v>
      </c>
      <c r="Y20" s="104" cm="1">
        <f t="array" ref="Y20">SUMPRODUCT(('Projects Overview'!$B$2:$B$5021="Male Stab")*('Projects Overview'!$G$2:$G$5021="Forecast")*('Projects Overview'!AH$2:AH$5021))</f>
        <v>0</v>
      </c>
      <c r="Z20" s="104" cm="1">
        <f t="array" ref="Z20">SUMPRODUCT(('Projects Overview'!$B$2:$B$5021="Male Stab")*('Projects Overview'!$G$2:$G$5021="Forecast")*('Projects Overview'!AI$2:AI$5021))</f>
        <v>0</v>
      </c>
      <c r="AA20" s="104" cm="1">
        <f t="array" ref="AA20">SUMPRODUCT(('Projects Overview'!$B$2:$B$5021="Male Stab")*('Projects Overview'!$G$2:$G$5021="Forecast")*('Projects Overview'!AJ$2:AJ$5021))</f>
        <v>0</v>
      </c>
      <c r="AB20" s="104" cm="1">
        <f t="array" ref="AB20">SUMPRODUCT(('Projects Overview'!$B$2:$B$5021="Male Stab")*('Projects Overview'!$G$2:$G$5021="Forecast")*('Projects Overview'!AK$2:AK$5021))</f>
        <v>0</v>
      </c>
      <c r="AC20" s="104" cm="1">
        <f t="array" ref="AC20">SUMPRODUCT(('Projects Overview'!$B$2:$B$5021="Male Stab")*('Projects Overview'!$G$2:$G$5021="Forecast")*('Projects Overview'!AL$2:AL$5021))</f>
        <v>0</v>
      </c>
      <c r="AD20" s="104" cm="1">
        <f t="array" ref="AD20">SUMPRODUCT(('Projects Overview'!$B$2:$B$5021="Male Stab")*('Projects Overview'!$G$2:$G$5021="Forecast")*('Projects Overview'!AM$2:AM$5021))</f>
        <v>0</v>
      </c>
      <c r="AE20" s="104" cm="1">
        <f t="array" ref="AE20">SUMPRODUCT(('Projects Overview'!$B$2:$B$5021="Male Stab")*('Projects Overview'!$G$2:$G$5021="Forecast")*('Projects Overview'!AN$2:AN$5021))</f>
        <v>0</v>
      </c>
      <c r="AF20" s="104" cm="1">
        <f t="array" ref="AF20">SUMPRODUCT(('Projects Overview'!$B$2:$B$5021="Male Stab")*('Projects Overview'!$G$2:$G$5021="Forecast")*('Projects Overview'!AO$2:AO$5021))</f>
        <v>0</v>
      </c>
      <c r="AG20" s="104" cm="1">
        <f t="array" ref="AG20">SUMPRODUCT(('Projects Overview'!$B$2:$B$5021="Male Stab")*('Projects Overview'!$G$2:$G$5021="Forecast")*('Projects Overview'!AP$2:AP$5021))</f>
        <v>0</v>
      </c>
      <c r="AH20" s="104" cm="1">
        <f t="array" ref="AH20">SUMPRODUCT(('Projects Overview'!$B$2:$B$5021="Male Stab")*('Projects Overview'!$G$2:$G$5021="Forecast")*('Projects Overview'!AQ$2:AQ$5021))</f>
        <v>0</v>
      </c>
      <c r="AI20" s="104" cm="1">
        <f t="array" ref="AI20">SUMPRODUCT(('Projects Overview'!$B$2:$B$5021="Male Stab")*('Projects Overview'!$G$2:$G$5021="Forecast")*('Projects Overview'!AR$2:AR$5021))</f>
        <v>0</v>
      </c>
      <c r="AJ20" s="104" cm="1">
        <f t="array" ref="AJ20">SUMPRODUCT(('Projects Overview'!$B$2:$B$5021="Male Stab")*('Projects Overview'!$G$2:$G$5021="Forecast")*('Projects Overview'!AS$2:AS$5021))</f>
        <v>0</v>
      </c>
      <c r="AK20" s="104" cm="1">
        <f t="array" ref="AK20">SUMPRODUCT(('Projects Overview'!$B$2:$B$5021="Male Stab")*('Projects Overview'!$G$2:$G$5021="Forecast")*('Projects Overview'!AT$2:AT$5021))</f>
        <v>0</v>
      </c>
      <c r="AL20" s="104" cm="1">
        <f t="array" ref="AL20">SUMPRODUCT(('Projects Overview'!$B$2:$B$5021="Male Stab")*('Projects Overview'!$G$2:$G$5021="Forecast")*('Projects Overview'!AU$2:AU$5021))</f>
        <v>0</v>
      </c>
      <c r="AM20" s="104" cm="1">
        <f t="array" ref="AM20">SUMPRODUCT(('Projects Overview'!$B$2:$B$5021="Male Stab")*('Projects Overview'!$G$2:$G$5021="Forecast")*('Projects Overview'!AV$2:AV$5021))</f>
        <v>0</v>
      </c>
      <c r="AN20" s="9"/>
      <c r="AO20" s="9"/>
      <c r="AP20" s="9"/>
      <c r="BE20" s="13" t="s">
        <v>353</v>
      </c>
      <c r="BF20" s="20">
        <f>(BF7+BF11+BF15+BF19)</f>
        <v>144.42825238095239</v>
      </c>
      <c r="BG20" s="20">
        <f>(BG7+BG11+BG15+BG19)</f>
        <v>124.95959999999999</v>
      </c>
      <c r="BH20" s="20">
        <f>(BH7+BH11+BH15+BH19)</f>
        <v>42.663466666666665</v>
      </c>
    </row>
    <row r="21" spans="1:60" ht="15" thickBot="1" x14ac:dyDescent="0.4">
      <c r="A21" s="222"/>
      <c r="B21" s="232" t="s">
        <v>105</v>
      </c>
      <c r="C21" s="1" t="s">
        <v>4</v>
      </c>
      <c r="D21" s="104">
        <v>0</v>
      </c>
      <c r="E21" s="104">
        <v>0</v>
      </c>
      <c r="F21" s="104">
        <v>0</v>
      </c>
      <c r="G21" s="104">
        <v>124.5</v>
      </c>
      <c r="H21" s="104">
        <v>0</v>
      </c>
      <c r="I21" s="104" cm="1">
        <f t="array" ref="I21">SUMPRODUCT(('Projects Overview'!$B$2:$B$5021="Female Stab")*('Projects Overview'!$G$2:$G$5021="Firm")*('Projects Overview'!R$2:R$5021))</f>
        <v>564.5</v>
      </c>
      <c r="J21" s="104" cm="1">
        <f t="array" ref="J21">SUMPRODUCT(('Projects Overview'!$B$2:$B$5021="Female Stab")*('Projects Overview'!$G$2:$G$5021="Firm")*('Projects Overview'!S$2:S$5021))</f>
        <v>0</v>
      </c>
      <c r="K21" s="104" cm="1">
        <f t="array" ref="K21">SUMPRODUCT(('Projects Overview'!$B$2:$B$5021="Female Stab")*('Projects Overview'!$G$2:$G$5021="Firm")*('Projects Overview'!T$2:T$5021))</f>
        <v>0</v>
      </c>
      <c r="L21" s="104" cm="1">
        <f t="array" ref="L21">SUMPRODUCT(('Projects Overview'!$B$2:$B$5021="Female Stab")*('Projects Overview'!$G$2:$G$5021="Firm")*('Projects Overview'!U$2:U$5021))</f>
        <v>360</v>
      </c>
      <c r="M21" s="104" cm="1">
        <f t="array" ref="M21">SUMPRODUCT(('Projects Overview'!$B$2:$B$5021="Female Stab")*('Projects Overview'!$G$2:$G$5021="Firm")*('Projects Overview'!V$2:V$5021))</f>
        <v>360</v>
      </c>
      <c r="N21" s="104" cm="1">
        <f t="array" ref="N21">SUMPRODUCT(('Projects Overview'!$B$2:$B$5021="Female Stab")*('Projects Overview'!$G$2:$G$5021="Firm")*('Projects Overview'!W$2:W$5021))</f>
        <v>200</v>
      </c>
      <c r="O21" s="104" cm="1">
        <f t="array" ref="O21">SUMPRODUCT(('Projects Overview'!$B$2:$B$5021="Female Stab")*('Projects Overview'!$G$2:$G$5021="Firm")*('Projects Overview'!X$2:X$5021))</f>
        <v>160</v>
      </c>
      <c r="P21" s="104" cm="1">
        <f t="array" ref="P21">SUMPRODUCT(('Projects Overview'!$B$2:$B$5021="Female Stab")*('Projects Overview'!$G$2:$G$5021="Firm")*('Projects Overview'!Y$2:Y$5021))</f>
        <v>150</v>
      </c>
      <c r="Q21" s="104" cm="1">
        <f t="array" ref="Q21">SUMPRODUCT(('Projects Overview'!$B$2:$B$5021="Female Stab")*('Projects Overview'!$G$2:$G$5021="Firm")*('Projects Overview'!Z$2:Z$5021))</f>
        <v>150</v>
      </c>
      <c r="R21" s="104" cm="1">
        <f t="array" ref="R21">SUMPRODUCT(('Projects Overview'!$B$2:$B$5021="Female Stab")*('Projects Overview'!$G$2:$G$5021="Firm")*('Projects Overview'!AA$2:AA$5021))</f>
        <v>125</v>
      </c>
      <c r="S21" s="104" cm="1">
        <f t="array" ref="S21">SUMPRODUCT(('Projects Overview'!$B$2:$B$5021="Female Stab")*('Projects Overview'!$G$2:$G$5021="Firm")*('Projects Overview'!AB$2:AB$5021))</f>
        <v>0</v>
      </c>
      <c r="T21" s="104" cm="1">
        <f t="array" ref="T21">SUMPRODUCT(('Projects Overview'!$B$2:$B$5021="Female Stab")*('Projects Overview'!$G$2:$G$5021="Firm")*('Projects Overview'!AC$2:AC$5021))</f>
        <v>0</v>
      </c>
      <c r="U21" s="104" cm="1">
        <f t="array" ref="U21">SUMPRODUCT(('Projects Overview'!$B$2:$B$5021="Female Stab")*('Projects Overview'!$G$2:$G$5021="Firm")*('Projects Overview'!AD$2:AD$5021))</f>
        <v>0</v>
      </c>
      <c r="V21" s="104" cm="1">
        <f t="array" ref="V21">SUMPRODUCT(('Projects Overview'!$B$2:$B$5021="Female Stab")*('Projects Overview'!$G$2:$G$5021="Firm")*('Projects Overview'!AE$2:AE$5021))</f>
        <v>0</v>
      </c>
      <c r="W21" s="104" cm="1">
        <f t="array" ref="W21">SUMPRODUCT(('Projects Overview'!$B$2:$B$5021="Female Stab")*('Projects Overview'!$G$2:$G$5021="Firm")*('Projects Overview'!AF$2:AF$5021))</f>
        <v>0</v>
      </c>
      <c r="X21" s="104" cm="1">
        <f t="array" ref="X21">SUMPRODUCT(('Projects Overview'!$B$2:$B$5021="Female Stab")*('Projects Overview'!$G$2:$G$5021="Firm")*('Projects Overview'!AG$2:AG$5021))</f>
        <v>0</v>
      </c>
      <c r="Y21" s="104" cm="1">
        <f t="array" ref="Y21">SUMPRODUCT(('Projects Overview'!$B$2:$B$5021="Female Stab")*('Projects Overview'!$G$2:$G$5021="Firm")*('Projects Overview'!AH$2:AH$5021))</f>
        <v>0</v>
      </c>
      <c r="Z21" s="104" cm="1">
        <f t="array" ref="Z21">SUMPRODUCT(('Projects Overview'!$B$2:$B$5021="Female Stab")*('Projects Overview'!$G$2:$G$5021="Firm")*('Projects Overview'!AI$2:AI$5021))</f>
        <v>0</v>
      </c>
      <c r="AA21" s="104" cm="1">
        <f t="array" ref="AA21">SUMPRODUCT(('Projects Overview'!$B$2:$B$5021="Female Stab")*('Projects Overview'!$G$2:$G$5021="Firm")*('Projects Overview'!AJ$2:AJ$5021))</f>
        <v>0</v>
      </c>
      <c r="AB21" s="104" cm="1">
        <f t="array" ref="AB21">SUMPRODUCT(('Projects Overview'!$B$2:$B$5021="Female Stab")*('Projects Overview'!$G$2:$G$5021="Firm")*('Projects Overview'!AK$2:AK$5021))</f>
        <v>0</v>
      </c>
      <c r="AC21" s="104" cm="1">
        <f t="array" ref="AC21">SUMPRODUCT(('Projects Overview'!$B$2:$B$5021="Female Stab")*('Projects Overview'!$G$2:$G$5021="Firm")*('Projects Overview'!AL$2:AL$5021))</f>
        <v>0</v>
      </c>
      <c r="AD21" s="104" cm="1">
        <f t="array" ref="AD21">SUMPRODUCT(('Projects Overview'!$B$2:$B$5021="Female Stab")*('Projects Overview'!$G$2:$G$5021="Firm")*('Projects Overview'!AM$2:AM$5021))</f>
        <v>0</v>
      </c>
      <c r="AE21" s="104" cm="1">
        <f t="array" ref="AE21">SUMPRODUCT(('Projects Overview'!$B$2:$B$5021="Female Stab")*('Projects Overview'!$G$2:$G$5021="Firm")*('Projects Overview'!AN$2:AN$5021))</f>
        <v>0</v>
      </c>
      <c r="AF21" s="104" cm="1">
        <f t="array" ref="AF21">SUMPRODUCT(('Projects Overview'!$B$2:$B$5021="Female Stab")*('Projects Overview'!$G$2:$G$5021="Firm")*('Projects Overview'!AO$2:AO$5021))</f>
        <v>0</v>
      </c>
      <c r="AG21" s="104" cm="1">
        <f t="array" ref="AG21">SUMPRODUCT(('Projects Overview'!$B$2:$B$5021="Female Stab")*('Projects Overview'!$G$2:$G$5021="Firm")*('Projects Overview'!AP$2:AP$5021))</f>
        <v>0</v>
      </c>
      <c r="AH21" s="104" cm="1">
        <f t="array" ref="AH21">SUMPRODUCT(('Projects Overview'!$B$2:$B$5021="Female Stab")*('Projects Overview'!$G$2:$G$5021="Firm")*('Projects Overview'!AQ$2:AQ$5021))</f>
        <v>0</v>
      </c>
      <c r="AI21" s="104" cm="1">
        <f t="array" ref="AI21">SUMPRODUCT(('Projects Overview'!$B$2:$B$5021="Female Stab")*('Projects Overview'!$G$2:$G$5021="Firm")*('Projects Overview'!AR$2:AR$5021))</f>
        <v>0</v>
      </c>
      <c r="AJ21" s="104" cm="1">
        <f t="array" ref="AJ21">SUMPRODUCT(('Projects Overview'!$B$2:$B$5021="Female Stab")*('Projects Overview'!$G$2:$G$5021="Firm")*('Projects Overview'!AS$2:AS$5021))</f>
        <v>0</v>
      </c>
      <c r="AK21" s="104" cm="1">
        <f t="array" ref="AK21">SUMPRODUCT(('Projects Overview'!$B$2:$B$5021="Female Stab")*('Projects Overview'!$G$2:$G$5021="Firm")*('Projects Overview'!AT$2:AT$5021))</f>
        <v>0</v>
      </c>
      <c r="AL21" s="104" cm="1">
        <f t="array" ref="AL21">SUMPRODUCT(('Projects Overview'!$B$2:$B$5021="Female Stab")*('Projects Overview'!$G$2:$G$5021="Firm")*('Projects Overview'!AU$2:AU$5021))</f>
        <v>0</v>
      </c>
      <c r="AM21" s="104" cm="1">
        <f t="array" ref="AM21">SUMPRODUCT(('Projects Overview'!$B$2:$B$5021="Female Stab")*('Projects Overview'!$G$2:$G$5021="Firm")*('Projects Overview'!AV$2:AV$5021))</f>
        <v>0</v>
      </c>
      <c r="AN21" s="9"/>
      <c r="AO21" s="9"/>
      <c r="AP21" s="9"/>
    </row>
    <row r="22" spans="1:60" ht="19" thickBot="1" x14ac:dyDescent="0.4">
      <c r="A22" s="222"/>
      <c r="B22" s="227"/>
      <c r="C22" s="2" t="s">
        <v>6</v>
      </c>
      <c r="D22" s="104">
        <v>0</v>
      </c>
      <c r="E22" s="104">
        <v>0</v>
      </c>
      <c r="F22" s="104">
        <v>0</v>
      </c>
      <c r="G22" s="104">
        <v>0</v>
      </c>
      <c r="H22" s="104">
        <v>0</v>
      </c>
      <c r="I22" s="104" cm="1">
        <f t="array" ref="I22">SUMPRODUCT(('Projects Overview'!$B$2:$B$5021="Female Stab")*('Projects Overview'!$G$2:$G$5021="Risk Release")*('Projects Overview'!R$2:R$5021))</f>
        <v>0</v>
      </c>
      <c r="J22" s="104" cm="1">
        <f t="array" ref="J22">SUMPRODUCT(('Projects Overview'!$B$2:$B$5021="Female Stab")*('Projects Overview'!$G$2:$G$5021="Risk Release")*('Projects Overview'!S$2:S$5021))</f>
        <v>0</v>
      </c>
      <c r="K22" s="104" cm="1">
        <f t="array" ref="K22">SUMPRODUCT(('Projects Overview'!$B$2:$B$5021="Female Stab")*('Projects Overview'!$G$2:$G$5021="Risk Release")*('Projects Overview'!T$2:T$5021))</f>
        <v>0</v>
      </c>
      <c r="L22" s="104" cm="1">
        <f t="array" ref="L22">SUMPRODUCT(('Projects Overview'!$B$2:$B$5021="Female Stab")*('Projects Overview'!$G$2:$G$5021="Risk Release")*('Projects Overview'!U$2:U$5021))</f>
        <v>0</v>
      </c>
      <c r="M22" s="104" cm="1">
        <f t="array" ref="M22">SUMPRODUCT(('Projects Overview'!$B$2:$B$5021="Female Stab")*('Projects Overview'!$G$2:$G$5021="Risk Release")*('Projects Overview'!V$2:V$5021))</f>
        <v>0</v>
      </c>
      <c r="N22" s="104" cm="1">
        <f t="array" ref="N22">SUMPRODUCT(('Projects Overview'!$B$2:$B$5021="Female Stab")*('Projects Overview'!$G$2:$G$5021="Risk Release")*('Projects Overview'!W$2:W$5021))</f>
        <v>0</v>
      </c>
      <c r="O22" s="104" cm="1">
        <f t="array" ref="O22">SUMPRODUCT(('Projects Overview'!$B$2:$B$5021="Female Stab")*('Projects Overview'!$G$2:$G$5021="Risk Release")*('Projects Overview'!X$2:X$5021))</f>
        <v>0</v>
      </c>
      <c r="P22" s="104" cm="1">
        <f t="array" ref="P22">SUMPRODUCT(('Projects Overview'!$B$2:$B$5021="Female Stab")*('Projects Overview'!$G$2:$G$5021="Risk Release")*('Projects Overview'!Y$2:Y$5021))</f>
        <v>0</v>
      </c>
      <c r="Q22" s="104" cm="1">
        <f t="array" ref="Q22">SUMPRODUCT(('Projects Overview'!$B$2:$B$5021="Female Stab")*('Projects Overview'!$G$2:$G$5021="Risk Release")*('Projects Overview'!Z$2:Z$5021))</f>
        <v>0</v>
      </c>
      <c r="R22" s="104" cm="1">
        <f t="array" ref="R22">SUMPRODUCT(('Projects Overview'!$B$2:$B$5021="Female Stab")*('Projects Overview'!$G$2:$G$5021="Risk Release")*('Projects Overview'!AA$2:AA$5021))</f>
        <v>0</v>
      </c>
      <c r="S22" s="104" cm="1">
        <f t="array" ref="S22">SUMPRODUCT(('Projects Overview'!$B$2:$B$5021="Female Stab")*('Projects Overview'!$G$2:$G$5021="Risk Release")*('Projects Overview'!AB$2:AB$5021))</f>
        <v>0</v>
      </c>
      <c r="T22" s="104" cm="1">
        <f t="array" ref="T22">SUMPRODUCT(('Projects Overview'!$B$2:$B$5021="Female Stab")*('Projects Overview'!$G$2:$G$5021="Risk Release")*('Projects Overview'!AC$2:AC$5021))</f>
        <v>0</v>
      </c>
      <c r="U22" s="104" cm="1">
        <f t="array" ref="U22">SUMPRODUCT(('Projects Overview'!$B$2:$B$5021="Female Stab")*('Projects Overview'!$G$2:$G$5021="Risk Release")*('Projects Overview'!AD$2:AD$5021))</f>
        <v>0</v>
      </c>
      <c r="V22" s="104" cm="1">
        <f t="array" ref="V22">SUMPRODUCT(('Projects Overview'!$B$2:$B$5021="Female Stab")*('Projects Overview'!$G$2:$G$5021="Risk Release")*('Projects Overview'!AE$2:AE$5021))</f>
        <v>0</v>
      </c>
      <c r="W22" s="104" cm="1">
        <f t="array" ref="W22">SUMPRODUCT(('Projects Overview'!$B$2:$B$5021="Female Stab")*('Projects Overview'!$G$2:$G$5021="Risk Release")*('Projects Overview'!AF$2:AF$5021))</f>
        <v>0</v>
      </c>
      <c r="X22" s="104" cm="1">
        <f t="array" ref="X22">SUMPRODUCT(('Projects Overview'!$B$2:$B$5021="Female Stab")*('Projects Overview'!$G$2:$G$5021="Risk Release")*('Projects Overview'!AG$2:AG$5021))</f>
        <v>0</v>
      </c>
      <c r="Y22" s="104" cm="1">
        <f t="array" ref="Y22">SUMPRODUCT(('Projects Overview'!$B$2:$B$5021="Female Stab")*('Projects Overview'!$G$2:$G$5021="Risk Release")*('Projects Overview'!AH$2:AH$5021))</f>
        <v>0</v>
      </c>
      <c r="Z22" s="104" cm="1">
        <f t="array" ref="Z22">SUMPRODUCT(('Projects Overview'!$B$2:$B$5021="Female Stab")*('Projects Overview'!$G$2:$G$5021="Risk Release")*('Projects Overview'!AI$2:AI$5021))</f>
        <v>0</v>
      </c>
      <c r="AA22" s="104" cm="1">
        <f t="array" ref="AA22">SUMPRODUCT(('Projects Overview'!$B$2:$B$5021="Female Stab")*('Projects Overview'!$G$2:$G$5021="Risk Release")*('Projects Overview'!AJ$2:AJ$5021))</f>
        <v>0</v>
      </c>
      <c r="AB22" s="104" cm="1">
        <f t="array" ref="AB22">SUMPRODUCT(('Projects Overview'!$B$2:$B$5021="Female Stab")*('Projects Overview'!$G$2:$G$5021="Risk Release")*('Projects Overview'!AK$2:AK$5021))</f>
        <v>0</v>
      </c>
      <c r="AC22" s="104" cm="1">
        <f t="array" ref="AC22">SUMPRODUCT(('Projects Overview'!$B$2:$B$5021="Female Stab")*('Projects Overview'!$G$2:$G$5021="Risk Release")*('Projects Overview'!AL$2:AL$5021))</f>
        <v>0</v>
      </c>
      <c r="AD22" s="104" cm="1">
        <f t="array" ref="AD22">SUMPRODUCT(('Projects Overview'!$B$2:$B$5021="Female Stab")*('Projects Overview'!$G$2:$G$5021="Risk Release")*('Projects Overview'!AM$2:AM$5021))</f>
        <v>0</v>
      </c>
      <c r="AE22" s="104" cm="1">
        <f t="array" ref="AE22">SUMPRODUCT(('Projects Overview'!$B$2:$B$5021="Female Stab")*('Projects Overview'!$G$2:$G$5021="Risk Release")*('Projects Overview'!AN$2:AN$5021))</f>
        <v>0</v>
      </c>
      <c r="AF22" s="104" cm="1">
        <f t="array" ref="AF22">SUMPRODUCT(('Projects Overview'!$B$2:$B$5021="Female Stab")*('Projects Overview'!$G$2:$G$5021="Risk Release")*('Projects Overview'!AO$2:AO$5021))</f>
        <v>0</v>
      </c>
      <c r="AG22" s="104" cm="1">
        <f t="array" ref="AG22">SUMPRODUCT(('Projects Overview'!$B$2:$B$5021="Female Stab")*('Projects Overview'!$G$2:$G$5021="Risk Release")*('Projects Overview'!AP$2:AP$5021))</f>
        <v>0</v>
      </c>
      <c r="AH22" s="104" cm="1">
        <f t="array" ref="AH22">SUMPRODUCT(('Projects Overview'!$B$2:$B$5021="Female Stab")*('Projects Overview'!$G$2:$G$5021="Risk Release")*('Projects Overview'!AQ$2:AQ$5021))</f>
        <v>0</v>
      </c>
      <c r="AI22" s="104" cm="1">
        <f t="array" ref="AI22">SUMPRODUCT(('Projects Overview'!$B$2:$B$5021="Female Stab")*('Projects Overview'!$G$2:$G$5021="Risk Release")*('Projects Overview'!AR$2:AR$5021))</f>
        <v>0</v>
      </c>
      <c r="AJ22" s="104" cm="1">
        <f t="array" ref="AJ22">SUMPRODUCT(('Projects Overview'!$B$2:$B$5021="Female Stab")*('Projects Overview'!$G$2:$G$5021="Risk Release")*('Projects Overview'!AS$2:AS$5021))</f>
        <v>0</v>
      </c>
      <c r="AK22" s="104" cm="1">
        <f t="array" ref="AK22">SUMPRODUCT(('Projects Overview'!$B$2:$B$5021="Female Stab")*('Projects Overview'!$G$2:$G$5021="Risk Release")*('Projects Overview'!AT$2:AT$5021))</f>
        <v>0</v>
      </c>
      <c r="AL22" s="104" cm="1">
        <f t="array" ref="AL22">SUMPRODUCT(('Projects Overview'!$B$2:$B$5021="Female Stab")*('Projects Overview'!$G$2:$G$5021="Risk Release")*('Projects Overview'!AU$2:AU$5021))</f>
        <v>0</v>
      </c>
      <c r="AM22" s="104" cm="1">
        <f t="array" ref="AM22">SUMPRODUCT(('Projects Overview'!$B$2:$B$5021="Female Stab")*('Projects Overview'!$G$2:$G$5021="Risk Release")*('Projects Overview'!AV$2:AV$5021))</f>
        <v>0</v>
      </c>
      <c r="AN22" s="9"/>
      <c r="AO22" s="9"/>
      <c r="AP22" s="9"/>
      <c r="BE22" s="12" t="s">
        <v>354</v>
      </c>
      <c r="BF22" s="12" t="s">
        <v>355</v>
      </c>
      <c r="BG22" s="12" t="s">
        <v>189</v>
      </c>
    </row>
    <row r="23" spans="1:60" ht="18.5" x14ac:dyDescent="0.35">
      <c r="A23" s="222"/>
      <c r="B23" s="228"/>
      <c r="C23" s="3" t="s">
        <v>8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 cm="1">
        <f t="array" ref="I23">SUMPRODUCT(('Projects Overview'!$B$2:$B$5021="Female Stab")*('Projects Overview'!$G$2:$G$5021="Forecast")*('Projects Overview'!R$2:R$5021))</f>
        <v>0</v>
      </c>
      <c r="J23" s="104" cm="1">
        <f t="array" ref="J23">SUMPRODUCT(('Projects Overview'!$B$2:$B$5021="Female Stab")*('Projects Overview'!$G$2:$G$5021="Forecast")*('Projects Overview'!S$2:S$5021))</f>
        <v>0</v>
      </c>
      <c r="K23" s="104" cm="1">
        <f t="array" ref="K23">SUMPRODUCT(('Projects Overview'!$B$2:$B$5021="Female Stab")*('Projects Overview'!$G$2:$G$5021="Forecast")*('Projects Overview'!T$2:T$5021))</f>
        <v>0</v>
      </c>
      <c r="L23" s="104" cm="1">
        <f t="array" ref="L23">SUMPRODUCT(('Projects Overview'!$B$2:$B$5021="Female Stab")*('Projects Overview'!$G$2:$G$5021="Forecast")*('Projects Overview'!U$2:U$5021))</f>
        <v>0</v>
      </c>
      <c r="M23" s="104" cm="1">
        <f t="array" ref="M23">SUMPRODUCT(('Projects Overview'!$B$2:$B$5021="Female Stab")*('Projects Overview'!$G$2:$G$5021="Forecast")*('Projects Overview'!V$2:V$5021))</f>
        <v>0</v>
      </c>
      <c r="N23" s="104" cm="1">
        <f t="array" ref="N23">SUMPRODUCT(('Projects Overview'!$B$2:$B$5021="Female Stab")*('Projects Overview'!$G$2:$G$5021="Forecast")*('Projects Overview'!W$2:W$5021))</f>
        <v>0</v>
      </c>
      <c r="O23" s="104" cm="1">
        <f t="array" ref="O23">SUMPRODUCT(('Projects Overview'!$B$2:$B$5021="Female Stab")*('Projects Overview'!$G$2:$G$5021="Forecast")*('Projects Overview'!X$2:X$5021))</f>
        <v>0</v>
      </c>
      <c r="P23" s="104" cm="1">
        <f t="array" ref="P23">SUMPRODUCT(('Projects Overview'!$B$2:$B$5021="Female Stab")*('Projects Overview'!$G$2:$G$5021="Forecast")*('Projects Overview'!Y$2:Y$5021))</f>
        <v>0</v>
      </c>
      <c r="Q23" s="104" cm="1">
        <f t="array" ref="Q23">SUMPRODUCT(('Projects Overview'!$B$2:$B$5021="Female Stab")*('Projects Overview'!$G$2:$G$5021="Forecast")*('Projects Overview'!Z$2:Z$5021))</f>
        <v>0</v>
      </c>
      <c r="R23" s="104" cm="1">
        <f t="array" ref="R23">SUMPRODUCT(('Projects Overview'!$B$2:$B$5021="Female Stab")*('Projects Overview'!$G$2:$G$5021="Forecast")*('Projects Overview'!AA$2:AA$5021))</f>
        <v>0</v>
      </c>
      <c r="S23" s="104" cm="1">
        <f t="array" ref="S23">SUMPRODUCT(('Projects Overview'!$B$2:$B$5021="Female Stab")*('Projects Overview'!$G$2:$G$5021="Forecast")*('Projects Overview'!AB$2:AB$5021))</f>
        <v>0</v>
      </c>
      <c r="T23" s="104" cm="1">
        <f t="array" ref="T23">SUMPRODUCT(('Projects Overview'!$B$2:$B$5021="Female Stab")*('Projects Overview'!$G$2:$G$5021="Forecast")*('Projects Overview'!AC$2:AC$5021))</f>
        <v>0</v>
      </c>
      <c r="U23" s="104" cm="1">
        <f t="array" ref="U23">SUMPRODUCT(('Projects Overview'!$B$2:$B$5021="Female Stab")*('Projects Overview'!$G$2:$G$5021="Forecast")*('Projects Overview'!AD$2:AD$5021))</f>
        <v>0</v>
      </c>
      <c r="V23" s="104" cm="1">
        <f t="array" ref="V23">SUMPRODUCT(('Projects Overview'!$B$2:$B$5021="Female Stab")*('Projects Overview'!$G$2:$G$5021="Forecast")*('Projects Overview'!AE$2:AE$5021))</f>
        <v>0</v>
      </c>
      <c r="W23" s="104" cm="1">
        <f t="array" ref="W23">SUMPRODUCT(('Projects Overview'!$B$2:$B$5021="Female Stab")*('Projects Overview'!$G$2:$G$5021="Forecast")*('Projects Overview'!AF$2:AF$5021))</f>
        <v>0</v>
      </c>
      <c r="X23" s="104" cm="1">
        <f t="array" ref="X23">SUMPRODUCT(('Projects Overview'!$B$2:$B$5021="Female Stab")*('Projects Overview'!$G$2:$G$5021="Forecast")*('Projects Overview'!AG$2:AG$5021))</f>
        <v>0</v>
      </c>
      <c r="Y23" s="104" cm="1">
        <f t="array" ref="Y23">SUMPRODUCT(('Projects Overview'!$B$2:$B$5021="Female Stab")*('Projects Overview'!$G$2:$G$5021="Forecast")*('Projects Overview'!AH$2:AH$5021))</f>
        <v>0</v>
      </c>
      <c r="Z23" s="104" cm="1">
        <f t="array" ref="Z23">SUMPRODUCT(('Projects Overview'!$B$2:$B$5021="Female Stab")*('Projects Overview'!$G$2:$G$5021="Forecast")*('Projects Overview'!AI$2:AI$5021))</f>
        <v>0</v>
      </c>
      <c r="AA23" s="104" cm="1">
        <f t="array" ref="AA23">SUMPRODUCT(('Projects Overview'!$B$2:$B$5021="Female Stab")*('Projects Overview'!$G$2:$G$5021="Forecast")*('Projects Overview'!AJ$2:AJ$5021))</f>
        <v>0</v>
      </c>
      <c r="AB23" s="104" cm="1">
        <f t="array" ref="AB23">SUMPRODUCT(('Projects Overview'!$B$2:$B$5021="Female Stab")*('Projects Overview'!$G$2:$G$5021="Forecast")*('Projects Overview'!AK$2:AK$5021))</f>
        <v>0</v>
      </c>
      <c r="AC23" s="104" cm="1">
        <f t="array" ref="AC23">SUMPRODUCT(('Projects Overview'!$B$2:$B$5021="Female Stab")*('Projects Overview'!$G$2:$G$5021="Forecast")*('Projects Overview'!AL$2:AL$5021))</f>
        <v>0</v>
      </c>
      <c r="AD23" s="104" cm="1">
        <f t="array" ref="AD23">SUMPRODUCT(('Projects Overview'!$B$2:$B$5021="Female Stab")*('Projects Overview'!$G$2:$G$5021="Forecast")*('Projects Overview'!AM$2:AM$5021))</f>
        <v>0</v>
      </c>
      <c r="AE23" s="104" cm="1">
        <f t="array" ref="AE23">SUMPRODUCT(('Projects Overview'!$B$2:$B$5021="Female Stab")*('Projects Overview'!$G$2:$G$5021="Forecast")*('Projects Overview'!AN$2:AN$5021))</f>
        <v>0</v>
      </c>
      <c r="AF23" s="104" cm="1">
        <f t="array" ref="AF23">SUMPRODUCT(('Projects Overview'!$B$2:$B$5021="Female Stab")*('Projects Overview'!$G$2:$G$5021="Forecast")*('Projects Overview'!AO$2:AO$5021))</f>
        <v>0</v>
      </c>
      <c r="AG23" s="104" cm="1">
        <f t="array" ref="AG23">SUMPRODUCT(('Projects Overview'!$B$2:$B$5021="Female Stab")*('Projects Overview'!$G$2:$G$5021="Forecast")*('Projects Overview'!AP$2:AP$5021))</f>
        <v>0</v>
      </c>
      <c r="AH23" s="104" cm="1">
        <f t="array" ref="AH23">SUMPRODUCT(('Projects Overview'!$B$2:$B$5021="Female Stab")*('Projects Overview'!$G$2:$G$5021="Forecast")*('Projects Overview'!AQ$2:AQ$5021))</f>
        <v>0</v>
      </c>
      <c r="AI23" s="104" cm="1">
        <f t="array" ref="AI23">SUMPRODUCT(('Projects Overview'!$B$2:$B$5021="Female Stab")*('Projects Overview'!$G$2:$G$5021="Forecast")*('Projects Overview'!AR$2:AR$5021))</f>
        <v>0</v>
      </c>
      <c r="AJ23" s="104" cm="1">
        <f t="array" ref="AJ23">SUMPRODUCT(('Projects Overview'!$B$2:$B$5021="Female Stab")*('Projects Overview'!$G$2:$G$5021="Forecast")*('Projects Overview'!AS$2:AS$5021))</f>
        <v>0</v>
      </c>
      <c r="AK23" s="104" cm="1">
        <f t="array" ref="AK23">SUMPRODUCT(('Projects Overview'!$B$2:$B$5021="Female Stab")*('Projects Overview'!$G$2:$G$5021="Forecast")*('Projects Overview'!AT$2:AT$5021))</f>
        <v>0</v>
      </c>
      <c r="AL23" s="104" cm="1">
        <f t="array" ref="AL23">SUMPRODUCT(('Projects Overview'!$B$2:$B$5021="Female Stab")*('Projects Overview'!$G$2:$G$5021="Forecast")*('Projects Overview'!AU$2:AU$5021))</f>
        <v>0</v>
      </c>
      <c r="AM23" s="104" cm="1">
        <f t="array" ref="AM23">SUMPRODUCT(('Projects Overview'!$B$2:$B$5021="Female Stab")*('Projects Overview'!$G$2:$G$5021="Forecast")*('Projects Overview'!AV$2:AV$5021))</f>
        <v>0</v>
      </c>
      <c r="AN23" s="9"/>
      <c r="AO23" s="9"/>
      <c r="AP23" s="9"/>
      <c r="BE23" s="155" t="s">
        <v>356</v>
      </c>
      <c r="BF23" s="156">
        <f>AU59</f>
        <v>55</v>
      </c>
      <c r="BG23" s="159">
        <f>AU56</f>
        <v>19630.600000000002</v>
      </c>
    </row>
    <row r="24" spans="1:60" ht="15.75" customHeight="1" x14ac:dyDescent="0.35">
      <c r="A24" s="222"/>
      <c r="B24" s="232" t="s">
        <v>109</v>
      </c>
      <c r="C24" s="1" t="s">
        <v>4</v>
      </c>
      <c r="D24" s="104">
        <v>0</v>
      </c>
      <c r="E24" s="104">
        <v>0</v>
      </c>
      <c r="F24" s="104">
        <v>0</v>
      </c>
      <c r="G24" s="104">
        <v>0</v>
      </c>
      <c r="H24" s="104">
        <v>0</v>
      </c>
      <c r="I24" s="104" cm="1">
        <f t="array" ref="I24">SUMPRODUCT(('Projects Overview'!$B$2:$B$5021="Test Stump")*('Projects Overview'!$G$2:$G$5021="Firm")*('Projects Overview'!R$2:R$5021))</f>
        <v>0</v>
      </c>
      <c r="J24" s="104" cm="1">
        <f t="array" ref="J24">SUMPRODUCT(('Projects Overview'!$B$2:$B$5021="Test Stump")*('Projects Overview'!$G$2:$G$5021="Firm")*('Projects Overview'!S$2:S$5021))</f>
        <v>0</v>
      </c>
      <c r="K24" s="104" cm="1">
        <f t="array" ref="K24">SUMPRODUCT(('Projects Overview'!$B$2:$B$5021="Test Stump")*('Projects Overview'!$G$2:$G$5021="Firm")*('Projects Overview'!T$2:T$5021))</f>
        <v>0</v>
      </c>
      <c r="L24" s="104" cm="1">
        <f t="array" ref="L24">SUMPRODUCT(('Projects Overview'!$B$2:$B$5021="Test Stump")*('Projects Overview'!$G$2:$G$5021="Firm")*('Projects Overview'!U$2:U$5021))</f>
        <v>0</v>
      </c>
      <c r="M24" s="104" cm="1">
        <f t="array" ref="M24">SUMPRODUCT(('Projects Overview'!$B$2:$B$5021="Test Stump")*('Projects Overview'!$G$2:$G$5021="Firm")*('Projects Overview'!V$2:V$5021))</f>
        <v>0</v>
      </c>
      <c r="N24" s="104" cm="1">
        <f t="array" ref="N24">SUMPRODUCT(('Projects Overview'!$B$2:$B$5021="Test Stump")*('Projects Overview'!$G$2:$G$5021="Firm")*('Projects Overview'!W$2:W$5021))</f>
        <v>0</v>
      </c>
      <c r="O24" s="104" cm="1">
        <f t="array" ref="O24">SUMPRODUCT(('Projects Overview'!$B$2:$B$5021="Test Stump")*('Projects Overview'!$G$2:$G$5021="Firm")*('Projects Overview'!X$2:X$5021))</f>
        <v>0</v>
      </c>
      <c r="P24" s="104" cm="1">
        <f t="array" ref="P24">SUMPRODUCT(('Projects Overview'!$B$2:$B$5021="Test Stump")*('Projects Overview'!$G$2:$G$5021="Firm")*('Projects Overview'!Y$2:Y$5021))</f>
        <v>0</v>
      </c>
      <c r="Q24" s="104" cm="1">
        <f t="array" ref="Q24">SUMPRODUCT(('Projects Overview'!$B$2:$B$5021="Test Stump")*('Projects Overview'!$G$2:$G$5021="Firm")*('Projects Overview'!Z$2:Z$5021))</f>
        <v>0</v>
      </c>
      <c r="R24" s="104" cm="1">
        <f t="array" ref="R24">SUMPRODUCT(('Projects Overview'!$B$2:$B$5021="Test Stump")*('Projects Overview'!$G$2:$G$5021="Firm")*('Projects Overview'!AA$2:AA$5021))</f>
        <v>0</v>
      </c>
      <c r="S24" s="104" cm="1">
        <f t="array" ref="S24">SUMPRODUCT(('Projects Overview'!$B$2:$B$5021="Test Stump")*('Projects Overview'!$G$2:$G$5021="Firm")*('Projects Overview'!AB$2:AB$5021))</f>
        <v>0</v>
      </c>
      <c r="T24" s="104" cm="1">
        <f t="array" ref="T24">SUMPRODUCT(('Projects Overview'!$B$2:$B$5021="Test Stump")*('Projects Overview'!$G$2:$G$5021="Firm")*('Projects Overview'!AC$2:AC$5021))</f>
        <v>0</v>
      </c>
      <c r="U24" s="104" cm="1">
        <f t="array" ref="U24">SUMPRODUCT(('Projects Overview'!$B$2:$B$5021="Test Stump")*('Projects Overview'!$G$2:$G$5021="Firm")*('Projects Overview'!AD$2:AD$5021))</f>
        <v>0</v>
      </c>
      <c r="V24" s="104" cm="1">
        <f t="array" ref="V24">SUMPRODUCT(('Projects Overview'!$B$2:$B$5021="Test Stump")*('Projects Overview'!$G$2:$G$5021="Firm")*('Projects Overview'!AE$2:AE$5021))</f>
        <v>0</v>
      </c>
      <c r="W24" s="104" cm="1">
        <f t="array" ref="W24">SUMPRODUCT(('Projects Overview'!$B$2:$B$5021="Test Stump")*('Projects Overview'!$G$2:$G$5021="Firm")*('Projects Overview'!AF$2:AF$5021))</f>
        <v>0</v>
      </c>
      <c r="X24" s="104" cm="1">
        <f t="array" ref="X24">SUMPRODUCT(('Projects Overview'!$B$2:$B$5021="Test Stump")*('Projects Overview'!$G$2:$G$5021="Firm")*('Projects Overview'!AG$2:AG$5021))</f>
        <v>0</v>
      </c>
      <c r="Y24" s="104" cm="1">
        <f t="array" ref="Y24">SUMPRODUCT(('Projects Overview'!$B$2:$B$5021="Test Stump")*('Projects Overview'!$G$2:$G$5021="Firm")*('Projects Overview'!AH$2:AH$5021))</f>
        <v>0</v>
      </c>
      <c r="Z24" s="104" cm="1">
        <f t="array" ref="Z24">SUMPRODUCT(('Projects Overview'!$B$2:$B$5021="Test Stump")*('Projects Overview'!$G$2:$G$5021="Firm")*('Projects Overview'!AI$2:AI$5021))</f>
        <v>0</v>
      </c>
      <c r="AA24" s="104" cm="1">
        <f t="array" ref="AA24">SUMPRODUCT(('Projects Overview'!$B$2:$B$5021="Test Stump")*('Projects Overview'!$G$2:$G$5021="Firm")*('Projects Overview'!AJ$2:AJ$5021))</f>
        <v>0</v>
      </c>
      <c r="AB24" s="104" cm="1">
        <f t="array" ref="AB24">SUMPRODUCT(('Projects Overview'!$B$2:$B$5021="Test Stump")*('Projects Overview'!$G$2:$G$5021="Firm")*('Projects Overview'!AK$2:AK$5021))</f>
        <v>0</v>
      </c>
      <c r="AC24" s="104" cm="1">
        <f t="array" ref="AC24">SUMPRODUCT(('Projects Overview'!$B$2:$B$5021="Test Stump")*('Projects Overview'!$G$2:$G$5021="Firm")*('Projects Overview'!AL$2:AL$5021))</f>
        <v>0</v>
      </c>
      <c r="AD24" s="104" cm="1">
        <f t="array" ref="AD24">SUMPRODUCT(('Projects Overview'!$B$2:$B$5021="Test Stump")*('Projects Overview'!$G$2:$G$5021="Firm")*('Projects Overview'!AM$2:AM$5021))</f>
        <v>0</v>
      </c>
      <c r="AE24" s="104" cm="1">
        <f t="array" ref="AE24">SUMPRODUCT(('Projects Overview'!$B$2:$B$5021="Test Stump")*('Projects Overview'!$G$2:$G$5021="Firm")*('Projects Overview'!AN$2:AN$5021))</f>
        <v>0</v>
      </c>
      <c r="AF24" s="104" cm="1">
        <f t="array" ref="AF24">SUMPRODUCT(('Projects Overview'!$B$2:$B$5021="Test Stump")*('Projects Overview'!$G$2:$G$5021="Firm")*('Projects Overview'!AO$2:AO$5021))</f>
        <v>0</v>
      </c>
      <c r="AG24" s="104" cm="1">
        <f t="array" ref="AG24">SUMPRODUCT(('Projects Overview'!$B$2:$B$5021="Test Stump")*('Projects Overview'!$G$2:$G$5021="Firm")*('Projects Overview'!AP$2:AP$5021))</f>
        <v>0</v>
      </c>
      <c r="AH24" s="104" cm="1">
        <f t="array" ref="AH24">SUMPRODUCT(('Projects Overview'!$B$2:$B$5021="Test Stump")*('Projects Overview'!$G$2:$G$5021="Firm")*('Projects Overview'!AQ$2:AQ$5021))</f>
        <v>0</v>
      </c>
      <c r="AI24" s="104" cm="1">
        <f t="array" ref="AI24">SUMPRODUCT(('Projects Overview'!$B$2:$B$5021="Test Stump")*('Projects Overview'!$G$2:$G$5021="Firm")*('Projects Overview'!AR$2:AR$5021))</f>
        <v>0</v>
      </c>
      <c r="AJ24" s="104" cm="1">
        <f t="array" ref="AJ24">SUMPRODUCT(('Projects Overview'!$B$2:$B$5021="Test Stump")*('Projects Overview'!$G$2:$G$5021="Firm")*('Projects Overview'!AS$2:AS$5021))</f>
        <v>0</v>
      </c>
      <c r="AK24" s="104" cm="1">
        <f t="array" ref="AK24">SUMPRODUCT(('Projects Overview'!$B$2:$B$5021="Test Stump")*('Projects Overview'!$G$2:$G$5021="Firm")*('Projects Overview'!AT$2:AT$5021))</f>
        <v>0</v>
      </c>
      <c r="AL24" s="104" cm="1">
        <f t="array" ref="AL24">SUMPRODUCT(('Projects Overview'!$B$2:$B$5021="Test Stump")*('Projects Overview'!$G$2:$G$5021="Firm")*('Projects Overview'!AU$2:AU$5021))</f>
        <v>0</v>
      </c>
      <c r="AM24" s="104" cm="1">
        <f t="array" ref="AM24">SUMPRODUCT(('Projects Overview'!$B$2:$B$5021="Test Stump")*('Projects Overview'!$G$2:$G$5021="Firm")*('Projects Overview'!AV$2:AV$5021))</f>
        <v>0</v>
      </c>
      <c r="AN24" s="9"/>
      <c r="AO24" s="9"/>
      <c r="AP24" s="9"/>
      <c r="BE24" s="153" t="s">
        <v>357</v>
      </c>
      <c r="BF24" s="156">
        <v>44</v>
      </c>
      <c r="BG24" s="159">
        <f>AU57-AU56</f>
        <v>17505.693333333333</v>
      </c>
    </row>
    <row r="25" spans="1:60" ht="19" thickBot="1" x14ac:dyDescent="0.4">
      <c r="A25" s="222"/>
      <c r="B25" s="227"/>
      <c r="C25" s="2" t="s">
        <v>6</v>
      </c>
      <c r="D25" s="104">
        <v>0</v>
      </c>
      <c r="E25" s="104">
        <v>0</v>
      </c>
      <c r="F25" s="104">
        <v>0</v>
      </c>
      <c r="G25" s="104">
        <v>0</v>
      </c>
      <c r="H25" s="104">
        <v>0</v>
      </c>
      <c r="I25" s="104" cm="1">
        <f t="array" ref="I25">SUMPRODUCT(('Projects Overview'!$B$2:$B$5021="Test Stump")*('Projects Overview'!$G$2:$G$5021="Risk Release")*('Projects Overview'!R$2:R$5021))</f>
        <v>0</v>
      </c>
      <c r="J25" s="104" cm="1">
        <f t="array" ref="J25">SUMPRODUCT(('Projects Overview'!$B$2:$B$5021="Test Stump")*('Projects Overview'!$G$2:$G$5021="Risk Release")*('Projects Overview'!S$2:S$5021))</f>
        <v>0</v>
      </c>
      <c r="K25" s="104" cm="1">
        <f t="array" ref="K25">SUMPRODUCT(('Projects Overview'!$B$2:$B$5021="Test Stump")*('Projects Overview'!$G$2:$G$5021="Risk Release")*('Projects Overview'!T$2:T$5021))</f>
        <v>0</v>
      </c>
      <c r="L25" s="104" cm="1">
        <f t="array" ref="L25">SUMPRODUCT(('Projects Overview'!$B$2:$B$5021="Test Stump")*('Projects Overview'!$G$2:$G$5021="Risk Release")*('Projects Overview'!U$2:U$5021))</f>
        <v>0</v>
      </c>
      <c r="M25" s="104" cm="1">
        <f t="array" ref="M25">SUMPRODUCT(('Projects Overview'!$B$2:$B$5021="Test Stump")*('Projects Overview'!$G$2:$G$5021="Risk Release")*('Projects Overview'!V$2:V$5021))</f>
        <v>0</v>
      </c>
      <c r="N25" s="104" cm="1">
        <f t="array" ref="N25">SUMPRODUCT(('Projects Overview'!$B$2:$B$5021="Test Stump")*('Projects Overview'!$G$2:$G$5021="Risk Release")*('Projects Overview'!W$2:W$5021))</f>
        <v>0</v>
      </c>
      <c r="O25" s="104" cm="1">
        <f t="array" ref="O25">SUMPRODUCT(('Projects Overview'!$B$2:$B$5021="Test Stump")*('Projects Overview'!$G$2:$G$5021="Risk Release")*('Projects Overview'!X$2:X$5021))</f>
        <v>0</v>
      </c>
      <c r="P25" s="104" cm="1">
        <f t="array" ref="P25">SUMPRODUCT(('Projects Overview'!$B$2:$B$5021="Test Stump")*('Projects Overview'!$G$2:$G$5021="Risk Release")*('Projects Overview'!Y$2:Y$5021))</f>
        <v>0</v>
      </c>
      <c r="Q25" s="104" cm="1">
        <f t="array" ref="Q25">SUMPRODUCT(('Projects Overview'!$B$2:$B$5021="Test Stump")*('Projects Overview'!$G$2:$G$5021="Risk Release")*('Projects Overview'!Z$2:Z$5021))</f>
        <v>0</v>
      </c>
      <c r="R25" s="104" cm="1">
        <f t="array" ref="R25">SUMPRODUCT(('Projects Overview'!$B$2:$B$5021="Test Stump")*('Projects Overview'!$G$2:$G$5021="Risk Release")*('Projects Overview'!AA$2:AA$5021))</f>
        <v>0</v>
      </c>
      <c r="S25" s="104" cm="1">
        <f t="array" ref="S25">SUMPRODUCT(('Projects Overview'!$B$2:$B$5021="Test Stump")*('Projects Overview'!$G$2:$G$5021="Risk Release")*('Projects Overview'!AB$2:AB$5021))</f>
        <v>0</v>
      </c>
      <c r="T25" s="104" cm="1">
        <f t="array" ref="T25">SUMPRODUCT(('Projects Overview'!$B$2:$B$5021="Test Stump")*('Projects Overview'!$G$2:$G$5021="Risk Release")*('Projects Overview'!AC$2:AC$5021))</f>
        <v>0</v>
      </c>
      <c r="U25" s="104" cm="1">
        <f t="array" ref="U25">SUMPRODUCT(('Projects Overview'!$B$2:$B$5021="Test Stump")*('Projects Overview'!$G$2:$G$5021="Risk Release")*('Projects Overview'!AD$2:AD$5021))</f>
        <v>0</v>
      </c>
      <c r="V25" s="104" cm="1">
        <f t="array" ref="V25">SUMPRODUCT(('Projects Overview'!$B$2:$B$5021="Test Stump")*('Projects Overview'!$G$2:$G$5021="Risk Release")*('Projects Overview'!AE$2:AE$5021))</f>
        <v>0</v>
      </c>
      <c r="W25" s="104" cm="1">
        <f t="array" ref="W25">SUMPRODUCT(('Projects Overview'!$B$2:$B$5021="Test Stump")*('Projects Overview'!$G$2:$G$5021="Risk Release")*('Projects Overview'!AF$2:AF$5021))</f>
        <v>0</v>
      </c>
      <c r="X25" s="104" cm="1">
        <f t="array" ref="X25">SUMPRODUCT(('Projects Overview'!$B$2:$B$5021="Test Stump")*('Projects Overview'!$G$2:$G$5021="Risk Release")*('Projects Overview'!AG$2:AG$5021))</f>
        <v>0</v>
      </c>
      <c r="Y25" s="104" cm="1">
        <f t="array" ref="Y25">SUMPRODUCT(('Projects Overview'!$B$2:$B$5021="Test Stump")*('Projects Overview'!$G$2:$G$5021="Risk Release")*('Projects Overview'!AH$2:AH$5021))</f>
        <v>0</v>
      </c>
      <c r="Z25" s="104" cm="1">
        <f t="array" ref="Z25">SUMPRODUCT(('Projects Overview'!$B$2:$B$5021="Test Stump")*('Projects Overview'!$G$2:$G$5021="Risk Release")*('Projects Overview'!AI$2:AI$5021))</f>
        <v>0</v>
      </c>
      <c r="AA25" s="104" cm="1">
        <f t="array" ref="AA25">SUMPRODUCT(('Projects Overview'!$B$2:$B$5021="Test Stump")*('Projects Overview'!$G$2:$G$5021="Risk Release")*('Projects Overview'!AJ$2:AJ$5021))</f>
        <v>0</v>
      </c>
      <c r="AB25" s="104" cm="1">
        <f t="array" ref="AB25">SUMPRODUCT(('Projects Overview'!$B$2:$B$5021="Test Stump")*('Projects Overview'!$G$2:$G$5021="Risk Release")*('Projects Overview'!AK$2:AK$5021))</f>
        <v>0</v>
      </c>
      <c r="AC25" s="104" cm="1">
        <f t="array" ref="AC25">SUMPRODUCT(('Projects Overview'!$B$2:$B$5021="Test Stump")*('Projects Overview'!$G$2:$G$5021="Risk Release")*('Projects Overview'!AL$2:AL$5021))</f>
        <v>0</v>
      </c>
      <c r="AD25" s="104" cm="1">
        <f t="array" ref="AD25">SUMPRODUCT(('Projects Overview'!$B$2:$B$5021="Test Stump")*('Projects Overview'!$G$2:$G$5021="Risk Release")*('Projects Overview'!AM$2:AM$5021))</f>
        <v>0</v>
      </c>
      <c r="AE25" s="104" cm="1">
        <f t="array" ref="AE25">SUMPRODUCT(('Projects Overview'!$B$2:$B$5021="Test Stump")*('Projects Overview'!$G$2:$G$5021="Risk Release")*('Projects Overview'!AN$2:AN$5021))</f>
        <v>0</v>
      </c>
      <c r="AF25" s="104" cm="1">
        <f t="array" ref="AF25">SUMPRODUCT(('Projects Overview'!$B$2:$B$5021="Test Stump")*('Projects Overview'!$G$2:$G$5021="Risk Release")*('Projects Overview'!AO$2:AO$5021))</f>
        <v>0</v>
      </c>
      <c r="AG25" s="104" cm="1">
        <f t="array" ref="AG25">SUMPRODUCT(('Projects Overview'!$B$2:$B$5021="Test Stump")*('Projects Overview'!$G$2:$G$5021="Risk Release")*('Projects Overview'!AP$2:AP$5021))</f>
        <v>0</v>
      </c>
      <c r="AH25" s="104" cm="1">
        <f t="array" ref="AH25">SUMPRODUCT(('Projects Overview'!$B$2:$B$5021="Test Stump")*('Projects Overview'!$G$2:$G$5021="Risk Release")*('Projects Overview'!AQ$2:AQ$5021))</f>
        <v>0</v>
      </c>
      <c r="AI25" s="104" cm="1">
        <f t="array" ref="AI25">SUMPRODUCT(('Projects Overview'!$B$2:$B$5021="Test Stump")*('Projects Overview'!$G$2:$G$5021="Risk Release")*('Projects Overview'!AR$2:AR$5021))</f>
        <v>0</v>
      </c>
      <c r="AJ25" s="104" cm="1">
        <f t="array" ref="AJ25">SUMPRODUCT(('Projects Overview'!$B$2:$B$5021="Test Stump")*('Projects Overview'!$G$2:$G$5021="Risk Release")*('Projects Overview'!AS$2:AS$5021))</f>
        <v>0</v>
      </c>
      <c r="AK25" s="104" cm="1">
        <f t="array" ref="AK25">SUMPRODUCT(('Projects Overview'!$B$2:$B$5021="Test Stump")*('Projects Overview'!$G$2:$G$5021="Risk Release")*('Projects Overview'!AT$2:AT$5021))</f>
        <v>0</v>
      </c>
      <c r="AL25" s="104" cm="1">
        <f t="array" ref="AL25">SUMPRODUCT(('Projects Overview'!$B$2:$B$5021="Test Stump")*('Projects Overview'!$G$2:$G$5021="Risk Release")*('Projects Overview'!AU$2:AU$5021))</f>
        <v>0</v>
      </c>
      <c r="AM25" s="104" cm="1">
        <f t="array" ref="AM25">SUMPRODUCT(('Projects Overview'!$B$2:$B$5021="Test Stump")*('Projects Overview'!$G$2:$G$5021="Risk Release")*('Projects Overview'!AV$2:AV$5021))</f>
        <v>0</v>
      </c>
      <c r="AN25" s="9"/>
      <c r="AO25" s="9"/>
      <c r="AP25" s="9"/>
      <c r="BE25" s="154" t="s">
        <v>358</v>
      </c>
      <c r="BF25" s="157">
        <f>SUM(BF23:BF24)</f>
        <v>99</v>
      </c>
      <c r="BG25" s="158">
        <f>SUM(BG23:BG24)</f>
        <v>37136.293333333335</v>
      </c>
    </row>
    <row r="26" spans="1:60" x14ac:dyDescent="0.35">
      <c r="A26" s="222"/>
      <c r="B26" s="228"/>
      <c r="C26" s="3" t="s">
        <v>8</v>
      </c>
      <c r="D26" s="104">
        <v>0</v>
      </c>
      <c r="E26" s="104">
        <v>0</v>
      </c>
      <c r="F26" s="104">
        <v>0</v>
      </c>
      <c r="G26" s="104">
        <v>0</v>
      </c>
      <c r="H26" s="104">
        <v>0</v>
      </c>
      <c r="I26" s="104" cm="1">
        <f t="array" ref="I26">SUMPRODUCT(('Projects Overview'!$B$2:$B$5021="Test Stump")*('Projects Overview'!$G$2:$G$5021="Forecast")*('Projects Overview'!R$2:R$5021))</f>
        <v>0</v>
      </c>
      <c r="J26" s="104" cm="1">
        <f t="array" ref="J26">SUMPRODUCT(('Projects Overview'!$B$2:$B$5021="Test Stump")*('Projects Overview'!$G$2:$G$5021="Forecast")*('Projects Overview'!S$2:S$5021))</f>
        <v>0</v>
      </c>
      <c r="K26" s="104" cm="1">
        <f t="array" ref="K26">SUMPRODUCT(('Projects Overview'!$B$2:$B$5021="Test Stump")*('Projects Overview'!$G$2:$G$5021="Forecast")*('Projects Overview'!T$2:T$5021))</f>
        <v>0</v>
      </c>
      <c r="L26" s="104" cm="1">
        <f t="array" ref="L26">SUMPRODUCT(('Projects Overview'!$B$2:$B$5021="Test Stump")*('Projects Overview'!$G$2:$G$5021="Forecast")*('Projects Overview'!U$2:U$5021))</f>
        <v>0</v>
      </c>
      <c r="M26" s="104" cm="1">
        <f t="array" ref="M26">SUMPRODUCT(('Projects Overview'!$B$2:$B$5021="Test Stump")*('Projects Overview'!$G$2:$G$5021="Forecast")*('Projects Overview'!V$2:V$5021))</f>
        <v>0</v>
      </c>
      <c r="N26" s="104" cm="1">
        <f t="array" ref="N26">SUMPRODUCT(('Projects Overview'!$B$2:$B$5021="Test Stump")*('Projects Overview'!$G$2:$G$5021="Forecast")*('Projects Overview'!W$2:W$5021))</f>
        <v>0</v>
      </c>
      <c r="O26" s="104" cm="1">
        <f t="array" ref="O26">SUMPRODUCT(('Projects Overview'!$B$2:$B$5021="Test Stump")*('Projects Overview'!$G$2:$G$5021="Forecast")*('Projects Overview'!X$2:X$5021))</f>
        <v>0</v>
      </c>
      <c r="P26" s="104" cm="1">
        <f t="array" ref="P26">SUMPRODUCT(('Projects Overview'!$B$2:$B$5021="Test Stump")*('Projects Overview'!$G$2:$G$5021="Forecast")*('Projects Overview'!Y$2:Y$5021))</f>
        <v>0</v>
      </c>
      <c r="Q26" s="104" cm="1">
        <f t="array" ref="Q26">SUMPRODUCT(('Projects Overview'!$B$2:$B$5021="Test Stump")*('Projects Overview'!$G$2:$G$5021="Forecast")*('Projects Overview'!Z$2:Z$5021))</f>
        <v>0</v>
      </c>
      <c r="R26" s="104" cm="1">
        <f t="array" ref="R26">SUMPRODUCT(('Projects Overview'!$B$2:$B$5021="Test Stump")*('Projects Overview'!$G$2:$G$5021="Forecast")*('Projects Overview'!AA$2:AA$5021))</f>
        <v>0</v>
      </c>
      <c r="S26" s="104" cm="1">
        <f t="array" ref="S26">SUMPRODUCT(('Projects Overview'!$B$2:$B$5021="Test Stump")*('Projects Overview'!$G$2:$G$5021="Forecast")*('Projects Overview'!AB$2:AB$5021))</f>
        <v>0</v>
      </c>
      <c r="T26" s="104" cm="1">
        <f t="array" ref="T26">SUMPRODUCT(('Projects Overview'!$B$2:$B$5021="Test Stump")*('Projects Overview'!$G$2:$G$5021="Forecast")*('Projects Overview'!AC$2:AC$5021))</f>
        <v>0</v>
      </c>
      <c r="U26" s="104" cm="1">
        <f t="array" ref="U26">SUMPRODUCT(('Projects Overview'!$B$2:$B$5021="Test Stump")*('Projects Overview'!$G$2:$G$5021="Forecast")*('Projects Overview'!AD$2:AD$5021))</f>
        <v>0</v>
      </c>
      <c r="V26" s="104" cm="1">
        <f t="array" ref="V26">SUMPRODUCT(('Projects Overview'!$B$2:$B$5021="Test Stump")*('Projects Overview'!$G$2:$G$5021="Forecast")*('Projects Overview'!AE$2:AE$5021))</f>
        <v>0</v>
      </c>
      <c r="W26" s="104" cm="1">
        <f t="array" ref="W26">SUMPRODUCT(('Projects Overview'!$B$2:$B$5021="Test Stump")*('Projects Overview'!$G$2:$G$5021="Forecast")*('Projects Overview'!AF$2:AF$5021))</f>
        <v>0</v>
      </c>
      <c r="X26" s="104" cm="1">
        <f t="array" ref="X26">SUMPRODUCT(('Projects Overview'!$B$2:$B$5021="Test Stump")*('Projects Overview'!$G$2:$G$5021="Forecast")*('Projects Overview'!AG$2:AG$5021))</f>
        <v>0</v>
      </c>
      <c r="Y26" s="104" cm="1">
        <f t="array" ref="Y26">SUMPRODUCT(('Projects Overview'!$B$2:$B$5021="Test Stump")*('Projects Overview'!$G$2:$G$5021="Forecast")*('Projects Overview'!AH$2:AH$5021))</f>
        <v>0</v>
      </c>
      <c r="Z26" s="104" cm="1">
        <f t="array" ref="Z26">SUMPRODUCT(('Projects Overview'!$B$2:$B$5021="Test Stump")*('Projects Overview'!$G$2:$G$5021="Forecast")*('Projects Overview'!AI$2:AI$5021))</f>
        <v>0</v>
      </c>
      <c r="AA26" s="104" cm="1">
        <f t="array" ref="AA26">SUMPRODUCT(('Projects Overview'!$B$2:$B$5021="Test Stump")*('Projects Overview'!$G$2:$G$5021="Forecast")*('Projects Overview'!AJ$2:AJ$5021))</f>
        <v>0</v>
      </c>
      <c r="AB26" s="104" cm="1">
        <f t="array" ref="AB26">SUMPRODUCT(('Projects Overview'!$B$2:$B$5021="Test Stump")*('Projects Overview'!$G$2:$G$5021="Forecast")*('Projects Overview'!AK$2:AK$5021))</f>
        <v>0</v>
      </c>
      <c r="AC26" s="104" cm="1">
        <f t="array" ref="AC26">SUMPRODUCT(('Projects Overview'!$B$2:$B$5021="Test Stump")*('Projects Overview'!$G$2:$G$5021="Forecast")*('Projects Overview'!AL$2:AL$5021))</f>
        <v>0</v>
      </c>
      <c r="AD26" s="104" cm="1">
        <f t="array" ref="AD26">SUMPRODUCT(('Projects Overview'!$B$2:$B$5021="Test Stump")*('Projects Overview'!$G$2:$G$5021="Forecast")*('Projects Overview'!AM$2:AM$5021))</f>
        <v>0</v>
      </c>
      <c r="AE26" s="104" cm="1">
        <f t="array" ref="AE26">SUMPRODUCT(('Projects Overview'!$B$2:$B$5021="Test Stump")*('Projects Overview'!$G$2:$G$5021="Forecast")*('Projects Overview'!AN$2:AN$5021))</f>
        <v>0</v>
      </c>
      <c r="AF26" s="104" cm="1">
        <f t="array" ref="AF26">SUMPRODUCT(('Projects Overview'!$B$2:$B$5021="Test Stump")*('Projects Overview'!$G$2:$G$5021="Forecast")*('Projects Overview'!AO$2:AO$5021))</f>
        <v>0</v>
      </c>
      <c r="AG26" s="104" cm="1">
        <f t="array" ref="AG26">SUMPRODUCT(('Projects Overview'!$B$2:$B$5021="Test Stump")*('Projects Overview'!$G$2:$G$5021="Forecast")*('Projects Overview'!AP$2:AP$5021))</f>
        <v>0</v>
      </c>
      <c r="AH26" s="104" cm="1">
        <f t="array" ref="AH26">SUMPRODUCT(('Projects Overview'!$B$2:$B$5021="Test Stump")*('Projects Overview'!$G$2:$G$5021="Forecast")*('Projects Overview'!AQ$2:AQ$5021))</f>
        <v>0</v>
      </c>
      <c r="AI26" s="104" cm="1">
        <f t="array" ref="AI26">SUMPRODUCT(('Projects Overview'!$B$2:$B$5021="Test Stump")*('Projects Overview'!$G$2:$G$5021="Forecast")*('Projects Overview'!AR$2:AR$5021))</f>
        <v>0</v>
      </c>
      <c r="AJ26" s="104" cm="1">
        <f t="array" ref="AJ26">SUMPRODUCT(('Projects Overview'!$B$2:$B$5021="Test Stump")*('Projects Overview'!$G$2:$G$5021="Forecast")*('Projects Overview'!AS$2:AS$5021))</f>
        <v>0</v>
      </c>
      <c r="AK26" s="104" cm="1">
        <f t="array" ref="AK26">SUMPRODUCT(('Projects Overview'!$B$2:$B$5021="Test Stump")*('Projects Overview'!$G$2:$G$5021="Forecast")*('Projects Overview'!AT$2:AT$5021))</f>
        <v>0</v>
      </c>
      <c r="AL26" s="104" cm="1">
        <f t="array" ref="AL26">SUMPRODUCT(('Projects Overview'!$B$2:$B$5021="Test Stump")*('Projects Overview'!$G$2:$G$5021="Forecast")*('Projects Overview'!AU$2:AU$5021))</f>
        <v>0</v>
      </c>
      <c r="AM26" s="104" cm="1">
        <f t="array" ref="AM26">SUMPRODUCT(('Projects Overview'!$B$2:$B$5021="Test Stump")*('Projects Overview'!$G$2:$G$5021="Forecast")*('Projects Overview'!AV$2:AV$5021))</f>
        <v>0</v>
      </c>
      <c r="AN26" s="9"/>
      <c r="AO26" s="9"/>
      <c r="AP26" s="9"/>
    </row>
    <row r="27" spans="1:60" x14ac:dyDescent="0.35">
      <c r="A27" s="222"/>
      <c r="B27" s="232" t="s">
        <v>112</v>
      </c>
      <c r="C27" s="1" t="s">
        <v>4</v>
      </c>
      <c r="D27" s="104">
        <v>308</v>
      </c>
      <c r="E27" s="104">
        <v>0</v>
      </c>
      <c r="F27" s="104">
        <v>0</v>
      </c>
      <c r="G27" s="104">
        <v>0</v>
      </c>
      <c r="H27" s="104">
        <v>0</v>
      </c>
      <c r="I27" s="104" cm="1">
        <f t="array" ref="I27">SUMPRODUCT(('Projects Overview'!$B$2:$B$5021="Diverter")*('Projects Overview'!$G$2:$G$5021="Firm")*('Projects Overview'!R$2:R$5021))</f>
        <v>0</v>
      </c>
      <c r="J27" s="104" cm="1">
        <f t="array" ref="J27">SUMPRODUCT(('Projects Overview'!$B$2:$B$5021="Diverter")*('Projects Overview'!$G$2:$G$5021="Firm")*('Projects Overview'!S$2:S$5021))</f>
        <v>0</v>
      </c>
      <c r="K27" s="104" cm="1">
        <f t="array" ref="K27">SUMPRODUCT(('Projects Overview'!$B$2:$B$5021="Diverter")*('Projects Overview'!$G$2:$G$5021="Firm")*('Projects Overview'!T$2:T$5021))</f>
        <v>0</v>
      </c>
      <c r="L27" s="104" cm="1">
        <f t="array" ref="L27">SUMPRODUCT(('Projects Overview'!$B$2:$B$5021="Diverter")*('Projects Overview'!$G$2:$G$5021="Firm")*('Projects Overview'!U$2:U$5021))</f>
        <v>0</v>
      </c>
      <c r="M27" s="104" cm="1">
        <f t="array" ref="M27">SUMPRODUCT(('Projects Overview'!$B$2:$B$5021="Diverter")*('Projects Overview'!$G$2:$G$5021="Firm")*('Projects Overview'!V$2:V$5021))</f>
        <v>0</v>
      </c>
      <c r="N27" s="104" cm="1">
        <f t="array" ref="N27">SUMPRODUCT(('Projects Overview'!$B$2:$B$5021="Diverter")*('Projects Overview'!$G$2:$G$5021="Firm")*('Projects Overview'!W$2:W$5021))</f>
        <v>0</v>
      </c>
      <c r="O27" s="104" cm="1">
        <f t="array" ref="O27">SUMPRODUCT(('Projects Overview'!$B$2:$B$5021="Diverter")*('Projects Overview'!$G$2:$G$5021="Firm")*('Projects Overview'!X$2:X$5021))</f>
        <v>0</v>
      </c>
      <c r="P27" s="104" cm="1">
        <f t="array" ref="P27">SUMPRODUCT(('Projects Overview'!$B$2:$B$5021="Diverter")*('Projects Overview'!$G$2:$G$5021="Firm")*('Projects Overview'!Y$2:Y$5021))</f>
        <v>0</v>
      </c>
      <c r="Q27" s="104" cm="1">
        <f t="array" ref="Q27">SUMPRODUCT(('Projects Overview'!$B$2:$B$5021="Diverter")*('Projects Overview'!$G$2:$G$5021="Firm")*('Projects Overview'!Z$2:Z$5021))</f>
        <v>695</v>
      </c>
      <c r="R27" s="104" cm="1">
        <f t="array" ref="R27">SUMPRODUCT(('Projects Overview'!$B$2:$B$5021="Diverter")*('Projects Overview'!$G$2:$G$5021="Firm")*('Projects Overview'!AA$2:AA$5021))</f>
        <v>190</v>
      </c>
      <c r="S27" s="104" cm="1">
        <f t="array" ref="S27">SUMPRODUCT(('Projects Overview'!$B$2:$B$5021="Diverter")*('Projects Overview'!$G$2:$G$5021="Firm")*('Projects Overview'!AB$2:AB$5021))</f>
        <v>0</v>
      </c>
      <c r="T27" s="104" cm="1">
        <f t="array" ref="T27">SUMPRODUCT(('Projects Overview'!$B$2:$B$5021="Diverter")*('Projects Overview'!$G$2:$G$5021="Firm")*('Projects Overview'!AC$2:AC$5021))</f>
        <v>0</v>
      </c>
      <c r="U27" s="104" cm="1">
        <f t="array" ref="U27">SUMPRODUCT(('Projects Overview'!$B$2:$B$5021="Diverter")*('Projects Overview'!$G$2:$G$5021="Firm")*('Projects Overview'!AD$2:AD$5021))</f>
        <v>0</v>
      </c>
      <c r="V27" s="104" cm="1">
        <f t="array" ref="V27">SUMPRODUCT(('Projects Overview'!$B$2:$B$5021="Diverter")*('Projects Overview'!$G$2:$G$5021="Firm")*('Projects Overview'!AE$2:AE$5021))</f>
        <v>0</v>
      </c>
      <c r="W27" s="104" cm="1">
        <f t="array" ref="W27">SUMPRODUCT(('Projects Overview'!$B$2:$B$5021="Diverter")*('Projects Overview'!$G$2:$G$5021="Firm")*('Projects Overview'!AF$2:AF$5021))</f>
        <v>0</v>
      </c>
      <c r="X27" s="104" cm="1">
        <f t="array" ref="X27">SUMPRODUCT(('Projects Overview'!$B$2:$B$5021="Diverter")*('Projects Overview'!$G$2:$G$5021="Firm")*('Projects Overview'!AG$2:AG$5021))</f>
        <v>0</v>
      </c>
      <c r="Y27" s="104" cm="1">
        <f t="array" ref="Y27">SUMPRODUCT(('Projects Overview'!$B$2:$B$5021="Diverter")*('Projects Overview'!$G$2:$G$5021="Firm")*('Projects Overview'!AH$2:AH$5021))</f>
        <v>0</v>
      </c>
      <c r="Z27" s="104" cm="1">
        <f t="array" ref="Z27">SUMPRODUCT(('Projects Overview'!$B$2:$B$5021="Diverter")*('Projects Overview'!$G$2:$G$5021="Firm")*('Projects Overview'!AI$2:AI$5021))</f>
        <v>0</v>
      </c>
      <c r="AA27" s="104" cm="1">
        <f t="array" ref="AA27">SUMPRODUCT(('Projects Overview'!$B$2:$B$5021="Diverter")*('Projects Overview'!$G$2:$G$5021="Firm")*('Projects Overview'!AJ$2:AJ$5021))</f>
        <v>0</v>
      </c>
      <c r="AB27" s="104" cm="1">
        <f t="array" ref="AB27">SUMPRODUCT(('Projects Overview'!$B$2:$B$5021="Diverter")*('Projects Overview'!$G$2:$G$5021="Firm")*('Projects Overview'!AK$2:AK$5021))</f>
        <v>0</v>
      </c>
      <c r="AC27" s="104" cm="1">
        <f t="array" ref="AC27">SUMPRODUCT(('Projects Overview'!$B$2:$B$5021="Diverter")*('Projects Overview'!$G$2:$G$5021="Firm")*('Projects Overview'!AL$2:AL$5021))</f>
        <v>0</v>
      </c>
      <c r="AD27" s="104" cm="1">
        <f t="array" ref="AD27">SUMPRODUCT(('Projects Overview'!$B$2:$B$5021="Diverter")*('Projects Overview'!$G$2:$G$5021="Firm")*('Projects Overview'!AM$2:AM$5021))</f>
        <v>0</v>
      </c>
      <c r="AE27" s="104" cm="1">
        <f t="array" ref="AE27">SUMPRODUCT(('Projects Overview'!$B$2:$B$5021="Diverter")*('Projects Overview'!$G$2:$G$5021="Firm")*('Projects Overview'!AN$2:AN$5021))</f>
        <v>0</v>
      </c>
      <c r="AF27" s="104" cm="1">
        <f t="array" ref="AF27">SUMPRODUCT(('Projects Overview'!$B$2:$B$5021="Diverter")*('Projects Overview'!$G$2:$G$5021="Firm")*('Projects Overview'!AO$2:AO$5021))</f>
        <v>0</v>
      </c>
      <c r="AG27" s="104" cm="1">
        <f t="array" ref="AG27">SUMPRODUCT(('Projects Overview'!$B$2:$B$5021="Diverter")*('Projects Overview'!$G$2:$G$5021="Firm")*('Projects Overview'!AP$2:AP$5021))</f>
        <v>0</v>
      </c>
      <c r="AH27" s="104" cm="1">
        <f t="array" ref="AH27">SUMPRODUCT(('Projects Overview'!$B$2:$B$5021="Diverter")*('Projects Overview'!$G$2:$G$5021="Firm")*('Projects Overview'!AQ$2:AQ$5021))</f>
        <v>0</v>
      </c>
      <c r="AI27" s="104" cm="1">
        <f t="array" ref="AI27">SUMPRODUCT(('Projects Overview'!$B$2:$B$5021="Diverter")*('Projects Overview'!$G$2:$G$5021="Firm")*('Projects Overview'!AR$2:AR$5021))</f>
        <v>0</v>
      </c>
      <c r="AJ27" s="104" cm="1">
        <f t="array" ref="AJ27">SUMPRODUCT(('Projects Overview'!$B$2:$B$5021="Diverter")*('Projects Overview'!$G$2:$G$5021="Firm")*('Projects Overview'!AS$2:AS$5021))</f>
        <v>0</v>
      </c>
      <c r="AK27" s="104" cm="1">
        <f t="array" ref="AK27">SUMPRODUCT(('Projects Overview'!$B$2:$B$5021="Diverter")*('Projects Overview'!$G$2:$G$5021="Firm")*('Projects Overview'!AT$2:AT$5021))</f>
        <v>0</v>
      </c>
      <c r="AL27" s="104" cm="1">
        <f t="array" ref="AL27">SUMPRODUCT(('Projects Overview'!$B$2:$B$5021="Diverter")*('Projects Overview'!$G$2:$G$5021="Firm")*('Projects Overview'!AU$2:AU$5021))</f>
        <v>0</v>
      </c>
      <c r="AM27" s="104" cm="1">
        <f t="array" ref="AM27">SUMPRODUCT(('Projects Overview'!$B$2:$B$5021="Diverter")*('Projects Overview'!$G$2:$G$5021="Firm")*('Projects Overview'!AV$2:AV$5021))</f>
        <v>0</v>
      </c>
      <c r="AN27" s="9"/>
      <c r="AO27" s="9"/>
      <c r="AP27" s="9"/>
    </row>
    <row r="28" spans="1:60" x14ac:dyDescent="0.35">
      <c r="A28" s="222"/>
      <c r="B28" s="227"/>
      <c r="C28" s="2" t="s">
        <v>6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  <c r="I28" s="104" cm="1">
        <f t="array" ref="I28">SUMPRODUCT(('Projects Overview'!$B$2:$B$5021="Diverter")*('Projects Overview'!$G$2:$G$5021="Risk Release")*('Projects Overview'!R$2:R$5021))</f>
        <v>0</v>
      </c>
      <c r="J28" s="104" cm="1">
        <f t="array" ref="J28">SUMPRODUCT(('Projects Overview'!$B$2:$B$5021="Diverter")*('Projects Overview'!$G$2:$G$5021="Risk Release")*('Projects Overview'!S$2:S$5021))</f>
        <v>0</v>
      </c>
      <c r="K28" s="104" cm="1">
        <f t="array" ref="K28">SUMPRODUCT(('Projects Overview'!$B$2:$B$5021="Diverter")*('Projects Overview'!$G$2:$G$5021="Risk Release")*('Projects Overview'!T$2:T$5021))</f>
        <v>0</v>
      </c>
      <c r="L28" s="104" cm="1">
        <f t="array" ref="L28">SUMPRODUCT(('Projects Overview'!$B$2:$B$5021="Diverter")*('Projects Overview'!$G$2:$G$5021="Risk Release")*('Projects Overview'!U$2:U$5021))</f>
        <v>0</v>
      </c>
      <c r="M28" s="104" cm="1">
        <f t="array" ref="M28">SUMPRODUCT(('Projects Overview'!$B$2:$B$5021="Diverter")*('Projects Overview'!$G$2:$G$5021="Risk Release")*('Projects Overview'!V$2:V$5021))</f>
        <v>0</v>
      </c>
      <c r="N28" s="104" cm="1">
        <f t="array" ref="N28">SUMPRODUCT(('Projects Overview'!$B$2:$B$5021="Diverter")*('Projects Overview'!$G$2:$G$5021="Risk Release")*('Projects Overview'!W$2:W$5021))</f>
        <v>0</v>
      </c>
      <c r="O28" s="104" cm="1">
        <f t="array" ref="O28">SUMPRODUCT(('Projects Overview'!$B$2:$B$5021="Diverter")*('Projects Overview'!$G$2:$G$5021="Risk Release")*('Projects Overview'!X$2:X$5021))</f>
        <v>0</v>
      </c>
      <c r="P28" s="104" cm="1">
        <f t="array" ref="P28">SUMPRODUCT(('Projects Overview'!$B$2:$B$5021="Diverter")*('Projects Overview'!$G$2:$G$5021="Risk Release")*('Projects Overview'!Y$2:Y$5021))</f>
        <v>0</v>
      </c>
      <c r="Q28" s="104" cm="1">
        <f t="array" ref="Q28">SUMPRODUCT(('Projects Overview'!$B$2:$B$5021="Diverter")*('Projects Overview'!$G$2:$G$5021="Risk Release")*('Projects Overview'!Z$2:Z$5021))</f>
        <v>0</v>
      </c>
      <c r="R28" s="104" cm="1">
        <f t="array" ref="R28">SUMPRODUCT(('Projects Overview'!$B$2:$B$5021="Diverter")*('Projects Overview'!$G$2:$G$5021="Risk Release")*('Projects Overview'!AA$2:AA$5021))</f>
        <v>0</v>
      </c>
      <c r="S28" s="104" cm="1">
        <f t="array" ref="S28">SUMPRODUCT(('Projects Overview'!$B$2:$B$5021="Diverter")*('Projects Overview'!$G$2:$G$5021="Risk Release")*('Projects Overview'!AB$2:AB$5021))</f>
        <v>0</v>
      </c>
      <c r="T28" s="104" cm="1">
        <f t="array" ref="T28">SUMPRODUCT(('Projects Overview'!$B$2:$B$5021="Diverter")*('Projects Overview'!$G$2:$G$5021="Risk Release")*('Projects Overview'!AC$2:AC$5021))</f>
        <v>0</v>
      </c>
      <c r="U28" s="104" cm="1">
        <f t="array" ref="U28">SUMPRODUCT(('Projects Overview'!$B$2:$B$5021="Diverter")*('Projects Overview'!$G$2:$G$5021="Risk Release")*('Projects Overview'!AD$2:AD$5021))</f>
        <v>0</v>
      </c>
      <c r="V28" s="104" cm="1">
        <f t="array" ref="V28">SUMPRODUCT(('Projects Overview'!$B$2:$B$5021="Diverter")*('Projects Overview'!$G$2:$G$5021="Risk Release")*('Projects Overview'!AE$2:AE$5021))</f>
        <v>0</v>
      </c>
      <c r="W28" s="104" cm="1">
        <f t="array" ref="W28">SUMPRODUCT(('Projects Overview'!$B$2:$B$5021="Diverter")*('Projects Overview'!$G$2:$G$5021="Risk Release")*('Projects Overview'!AF$2:AF$5021))</f>
        <v>0</v>
      </c>
      <c r="X28" s="104" cm="1">
        <f t="array" ref="X28">SUMPRODUCT(('Projects Overview'!$B$2:$B$5021="Diverter")*('Projects Overview'!$G$2:$G$5021="Risk Release")*('Projects Overview'!AG$2:AG$5021))</f>
        <v>0</v>
      </c>
      <c r="Y28" s="104" cm="1">
        <f t="array" ref="Y28">SUMPRODUCT(('Projects Overview'!$B$2:$B$5021="Diverter")*('Projects Overview'!$G$2:$G$5021="Risk Release")*('Projects Overview'!AH$2:AH$5021))</f>
        <v>0</v>
      </c>
      <c r="Z28" s="104" cm="1">
        <f t="array" ref="Z28">SUMPRODUCT(('Projects Overview'!$B$2:$B$5021="Diverter")*('Projects Overview'!$G$2:$G$5021="Risk Release")*('Projects Overview'!AI$2:AI$5021))</f>
        <v>0</v>
      </c>
      <c r="AA28" s="104" cm="1">
        <f t="array" ref="AA28">SUMPRODUCT(('Projects Overview'!$B$2:$B$5021="Diverter")*('Projects Overview'!$G$2:$G$5021="Risk Release")*('Projects Overview'!AJ$2:AJ$5021))</f>
        <v>0</v>
      </c>
      <c r="AB28" s="104" cm="1">
        <f t="array" ref="AB28">SUMPRODUCT(('Projects Overview'!$B$2:$B$5021="Diverter")*('Projects Overview'!$G$2:$G$5021="Risk Release")*('Projects Overview'!AK$2:AK$5021))</f>
        <v>0</v>
      </c>
      <c r="AC28" s="104" cm="1">
        <f t="array" ref="AC28">SUMPRODUCT(('Projects Overview'!$B$2:$B$5021="Diverter")*('Projects Overview'!$G$2:$G$5021="Risk Release")*('Projects Overview'!AL$2:AL$5021))</f>
        <v>0</v>
      </c>
      <c r="AD28" s="104" cm="1">
        <f t="array" ref="AD28">SUMPRODUCT(('Projects Overview'!$B$2:$B$5021="Diverter")*('Projects Overview'!$G$2:$G$5021="Risk Release")*('Projects Overview'!AM$2:AM$5021))</f>
        <v>0</v>
      </c>
      <c r="AE28" s="104" cm="1">
        <f t="array" ref="AE28">SUMPRODUCT(('Projects Overview'!$B$2:$B$5021="Diverter")*('Projects Overview'!$G$2:$G$5021="Risk Release")*('Projects Overview'!AN$2:AN$5021))</f>
        <v>0</v>
      </c>
      <c r="AF28" s="104" cm="1">
        <f t="array" ref="AF28">SUMPRODUCT(('Projects Overview'!$B$2:$B$5021="Diverter")*('Projects Overview'!$G$2:$G$5021="Risk Release")*('Projects Overview'!AO$2:AO$5021))</f>
        <v>0</v>
      </c>
      <c r="AG28" s="104" cm="1">
        <f t="array" ref="AG28">SUMPRODUCT(('Projects Overview'!$B$2:$B$5021="Diverter")*('Projects Overview'!$G$2:$G$5021="Risk Release")*('Projects Overview'!AP$2:AP$5021))</f>
        <v>0</v>
      </c>
      <c r="AH28" s="104" cm="1">
        <f t="array" ref="AH28">SUMPRODUCT(('Projects Overview'!$B$2:$B$5021="Diverter")*('Projects Overview'!$G$2:$G$5021="Risk Release")*('Projects Overview'!AQ$2:AQ$5021))</f>
        <v>0</v>
      </c>
      <c r="AI28" s="104" cm="1">
        <f t="array" ref="AI28">SUMPRODUCT(('Projects Overview'!$B$2:$B$5021="Diverter")*('Projects Overview'!$G$2:$G$5021="Risk Release")*('Projects Overview'!AR$2:AR$5021))</f>
        <v>0</v>
      </c>
      <c r="AJ28" s="104" cm="1">
        <f t="array" ref="AJ28">SUMPRODUCT(('Projects Overview'!$B$2:$B$5021="Diverter")*('Projects Overview'!$G$2:$G$5021="Risk Release")*('Projects Overview'!AS$2:AS$5021))</f>
        <v>0</v>
      </c>
      <c r="AK28" s="104" cm="1">
        <f t="array" ref="AK28">SUMPRODUCT(('Projects Overview'!$B$2:$B$5021="Diverter")*('Projects Overview'!$G$2:$G$5021="Risk Release")*('Projects Overview'!AT$2:AT$5021))</f>
        <v>0</v>
      </c>
      <c r="AL28" s="104" cm="1">
        <f t="array" ref="AL28">SUMPRODUCT(('Projects Overview'!$B$2:$B$5021="Diverter")*('Projects Overview'!$G$2:$G$5021="Risk Release")*('Projects Overview'!AU$2:AU$5021))</f>
        <v>0</v>
      </c>
      <c r="AM28" s="104" cm="1">
        <f t="array" ref="AM28">SUMPRODUCT(('Projects Overview'!$B$2:$B$5021="Diverter")*('Projects Overview'!$G$2:$G$5021="Risk Release")*('Projects Overview'!AV$2:AV$5021))</f>
        <v>0</v>
      </c>
      <c r="AN28" s="9"/>
      <c r="AO28" s="9"/>
      <c r="AP28" s="9"/>
    </row>
    <row r="29" spans="1:60" x14ac:dyDescent="0.35">
      <c r="A29" s="222"/>
      <c r="B29" s="228"/>
      <c r="C29" s="3" t="s">
        <v>8</v>
      </c>
      <c r="D29" s="104">
        <v>0</v>
      </c>
      <c r="E29" s="104">
        <v>0</v>
      </c>
      <c r="F29" s="104">
        <v>0</v>
      </c>
      <c r="G29" s="104">
        <v>0</v>
      </c>
      <c r="H29" s="104">
        <v>0</v>
      </c>
      <c r="I29" s="104" cm="1">
        <f t="array" ref="I29">SUMPRODUCT(('Projects Overview'!$B$2:$B$5021="Diverter")*('Projects Overview'!$G$2:$G$5021="Forecast")*('Projects Overview'!R$2:R$5021))</f>
        <v>0</v>
      </c>
      <c r="J29" s="104" cm="1">
        <f t="array" ref="J29">SUMPRODUCT(('Projects Overview'!$B$2:$B$5021="Diverter")*('Projects Overview'!$G$2:$G$5021="Forecast")*('Projects Overview'!S$2:S$5021))</f>
        <v>0</v>
      </c>
      <c r="K29" s="104" cm="1">
        <f t="array" ref="K29">SUMPRODUCT(('Projects Overview'!$B$2:$B$5021="Diverter")*('Projects Overview'!$G$2:$G$5021="Forecast")*('Projects Overview'!T$2:T$5021))</f>
        <v>0</v>
      </c>
      <c r="L29" s="104" cm="1">
        <f t="array" ref="L29">SUMPRODUCT(('Projects Overview'!$B$2:$B$5021="Diverter")*('Projects Overview'!$G$2:$G$5021="Forecast")*('Projects Overview'!U$2:U$5021))</f>
        <v>0</v>
      </c>
      <c r="M29" s="104" cm="1">
        <f t="array" ref="M29">SUMPRODUCT(('Projects Overview'!$B$2:$B$5021="Diverter")*('Projects Overview'!$G$2:$G$5021="Forecast")*('Projects Overview'!V$2:V$5021))</f>
        <v>0</v>
      </c>
      <c r="N29" s="104" cm="1">
        <f t="array" ref="N29">SUMPRODUCT(('Projects Overview'!$B$2:$B$5021="Diverter")*('Projects Overview'!$G$2:$G$5021="Forecast")*('Projects Overview'!W$2:W$5021))</f>
        <v>0</v>
      </c>
      <c r="O29" s="104" cm="1">
        <f t="array" ref="O29">SUMPRODUCT(('Projects Overview'!$B$2:$B$5021="Diverter")*('Projects Overview'!$G$2:$G$5021="Forecast")*('Projects Overview'!X$2:X$5021))</f>
        <v>0</v>
      </c>
      <c r="P29" s="104" cm="1">
        <f t="array" ref="P29">SUMPRODUCT(('Projects Overview'!$B$2:$B$5021="Diverter")*('Projects Overview'!$G$2:$G$5021="Forecast")*('Projects Overview'!Y$2:Y$5021))</f>
        <v>0</v>
      </c>
      <c r="Q29" s="104" cm="1">
        <f t="array" ref="Q29">SUMPRODUCT(('Projects Overview'!$B$2:$B$5021="Diverter")*('Projects Overview'!$G$2:$G$5021="Forecast")*('Projects Overview'!Z$2:Z$5021))</f>
        <v>0</v>
      </c>
      <c r="R29" s="104" cm="1">
        <f t="array" ref="R29">SUMPRODUCT(('Projects Overview'!$B$2:$B$5021="Diverter")*('Projects Overview'!$G$2:$G$5021="Forecast")*('Projects Overview'!AA$2:AA$5021))</f>
        <v>0</v>
      </c>
      <c r="S29" s="104" cm="1">
        <f t="array" ref="S29">SUMPRODUCT(('Projects Overview'!$B$2:$B$5021="Diverter")*('Projects Overview'!$G$2:$G$5021="Forecast")*('Projects Overview'!AB$2:AB$5021))</f>
        <v>0</v>
      </c>
      <c r="T29" s="104" cm="1">
        <f t="array" ref="T29">SUMPRODUCT(('Projects Overview'!$B$2:$B$5021="Diverter")*('Projects Overview'!$G$2:$G$5021="Forecast")*('Projects Overview'!AC$2:AC$5021))</f>
        <v>0</v>
      </c>
      <c r="U29" s="104" cm="1">
        <f t="array" ref="U29">SUMPRODUCT(('Projects Overview'!$B$2:$B$5021="Diverter")*('Projects Overview'!$G$2:$G$5021="Forecast")*('Projects Overview'!AD$2:AD$5021))</f>
        <v>0</v>
      </c>
      <c r="V29" s="104" cm="1">
        <f t="array" ref="V29">SUMPRODUCT(('Projects Overview'!$B$2:$B$5021="Diverter")*('Projects Overview'!$G$2:$G$5021="Forecast")*('Projects Overview'!AE$2:AE$5021))</f>
        <v>0</v>
      </c>
      <c r="W29" s="104" cm="1">
        <f t="array" ref="W29">SUMPRODUCT(('Projects Overview'!$B$2:$B$5021="Diverter")*('Projects Overview'!$G$2:$G$5021="Forecast")*('Projects Overview'!AF$2:AF$5021))</f>
        <v>0</v>
      </c>
      <c r="X29" s="104" cm="1">
        <f t="array" ref="X29">SUMPRODUCT(('Projects Overview'!$B$2:$B$5021="Diverter")*('Projects Overview'!$G$2:$G$5021="Forecast")*('Projects Overview'!AG$2:AG$5021))</f>
        <v>0</v>
      </c>
      <c r="Y29" s="104" cm="1">
        <f t="array" ref="Y29">SUMPRODUCT(('Projects Overview'!$B$2:$B$5021="Diverter")*('Projects Overview'!$G$2:$G$5021="Forecast")*('Projects Overview'!AH$2:AH$5021))</f>
        <v>0</v>
      </c>
      <c r="Z29" s="104" cm="1">
        <f t="array" ref="Z29">SUMPRODUCT(('Projects Overview'!$B$2:$B$5021="Diverter")*('Projects Overview'!$G$2:$G$5021="Forecast")*('Projects Overview'!AI$2:AI$5021))</f>
        <v>0</v>
      </c>
      <c r="AA29" s="104" cm="1">
        <f t="array" ref="AA29">SUMPRODUCT(('Projects Overview'!$B$2:$B$5021="Diverter")*('Projects Overview'!$G$2:$G$5021="Forecast")*('Projects Overview'!AJ$2:AJ$5021))</f>
        <v>0</v>
      </c>
      <c r="AB29" s="104" cm="1">
        <f t="array" ref="AB29">SUMPRODUCT(('Projects Overview'!$B$2:$B$5021="Diverter")*('Projects Overview'!$G$2:$G$5021="Forecast")*('Projects Overview'!AK$2:AK$5021))</f>
        <v>0</v>
      </c>
      <c r="AC29" s="104" cm="1">
        <f t="array" ref="AC29">SUMPRODUCT(('Projects Overview'!$B$2:$B$5021="Diverter")*('Projects Overview'!$G$2:$G$5021="Forecast")*('Projects Overview'!AL$2:AL$5021))</f>
        <v>0</v>
      </c>
      <c r="AD29" s="104" cm="1">
        <f t="array" ref="AD29">SUMPRODUCT(('Projects Overview'!$B$2:$B$5021="Diverter")*('Projects Overview'!$G$2:$G$5021="Forecast")*('Projects Overview'!AM$2:AM$5021))</f>
        <v>0</v>
      </c>
      <c r="AE29" s="104" cm="1">
        <f t="array" ref="AE29">SUMPRODUCT(('Projects Overview'!$B$2:$B$5021="Diverter")*('Projects Overview'!$G$2:$G$5021="Forecast")*('Projects Overview'!AN$2:AN$5021))</f>
        <v>0</v>
      </c>
      <c r="AF29" s="104" cm="1">
        <f t="array" ref="AF29">SUMPRODUCT(('Projects Overview'!$B$2:$B$5021="Diverter")*('Projects Overview'!$G$2:$G$5021="Forecast")*('Projects Overview'!AO$2:AO$5021))</f>
        <v>0</v>
      </c>
      <c r="AG29" s="104" cm="1">
        <f t="array" ref="AG29">SUMPRODUCT(('Projects Overview'!$B$2:$B$5021="Diverter")*('Projects Overview'!$G$2:$G$5021="Forecast")*('Projects Overview'!AP$2:AP$5021))</f>
        <v>0</v>
      </c>
      <c r="AH29" s="104" cm="1">
        <f t="array" ref="AH29">SUMPRODUCT(('Projects Overview'!$B$2:$B$5021="Diverter")*('Projects Overview'!$G$2:$G$5021="Forecast")*('Projects Overview'!AQ$2:AQ$5021))</f>
        <v>0</v>
      </c>
      <c r="AI29" s="104" cm="1">
        <f t="array" ref="AI29">SUMPRODUCT(('Projects Overview'!$B$2:$B$5021="Diverter")*('Projects Overview'!$G$2:$G$5021="Forecast")*('Projects Overview'!AR$2:AR$5021))</f>
        <v>0</v>
      </c>
      <c r="AJ29" s="104" cm="1">
        <f t="array" ref="AJ29">SUMPRODUCT(('Projects Overview'!$B$2:$B$5021="Diverter")*('Projects Overview'!$G$2:$G$5021="Forecast")*('Projects Overview'!AS$2:AS$5021))</f>
        <v>0</v>
      </c>
      <c r="AK29" s="104" cm="1">
        <f t="array" ref="AK29">SUMPRODUCT(('Projects Overview'!$B$2:$B$5021="Diverter")*('Projects Overview'!$G$2:$G$5021="Forecast")*('Projects Overview'!AT$2:AT$5021))</f>
        <v>0</v>
      </c>
      <c r="AL29" s="104" cm="1">
        <f t="array" ref="AL29">SUMPRODUCT(('Projects Overview'!$B$2:$B$5021="Diverter")*('Projects Overview'!$G$2:$G$5021="Forecast")*('Projects Overview'!AU$2:AU$5021))</f>
        <v>0</v>
      </c>
      <c r="AM29" s="104" cm="1">
        <f t="array" ref="AM29">SUMPRODUCT(('Projects Overview'!$B$2:$B$5021="Diverter")*('Projects Overview'!$G$2:$G$5021="Forecast")*('Projects Overview'!AV$2:AV$5021))</f>
        <v>0</v>
      </c>
      <c r="AN29" s="9"/>
      <c r="AO29" s="9"/>
      <c r="AP29" s="9"/>
    </row>
    <row r="30" spans="1:60" x14ac:dyDescent="0.35">
      <c r="A30" s="222"/>
      <c r="B30" s="232" t="s">
        <v>115</v>
      </c>
      <c r="C30" s="1" t="s">
        <v>4</v>
      </c>
      <c r="D30" s="104">
        <v>308.8</v>
      </c>
      <c r="E30" s="104">
        <v>608.79999999999995</v>
      </c>
      <c r="F30" s="104">
        <v>994.8</v>
      </c>
      <c r="G30" s="104">
        <v>994.8</v>
      </c>
      <c r="H30" s="104">
        <v>837.8</v>
      </c>
      <c r="I30" s="104" cm="1">
        <f t="array" ref="I30">SUMPRODUCT(('Projects Overview'!$B$2:$B$5021="Ram Block")*('Projects Overview'!$G$2:$G$5021="Firm")*('Projects Overview'!R$2:R$5021))</f>
        <v>722</v>
      </c>
      <c r="J30" s="104" cm="1">
        <f t="array" ref="J30">SUMPRODUCT(('Projects Overview'!$B$2:$B$5021="Ram Block")*('Projects Overview'!$G$2:$G$5021="Firm")*('Projects Overview'!S$2:S$5021))</f>
        <v>800</v>
      </c>
      <c r="K30" s="104" cm="1">
        <f t="array" ref="K30">SUMPRODUCT(('Projects Overview'!$B$2:$B$5021="Ram Block")*('Projects Overview'!$G$2:$G$5021="Firm")*('Projects Overview'!T$2:T$5021))</f>
        <v>534</v>
      </c>
      <c r="L30" s="104" cm="1">
        <f t="array" ref="L30">SUMPRODUCT(('Projects Overview'!$B$2:$B$5021="Ram Block")*('Projects Overview'!$G$2:$G$5021="Firm")*('Projects Overview'!U$2:U$5021))</f>
        <v>356</v>
      </c>
      <c r="M30" s="104" cm="1">
        <f t="array" ref="M30">SUMPRODUCT(('Projects Overview'!$B$2:$B$5021="Ram Block")*('Projects Overview'!$G$2:$G$5021="Firm")*('Projects Overview'!V$2:V$5021))</f>
        <v>470</v>
      </c>
      <c r="N30" s="104" cm="1">
        <f t="array" ref="N30">SUMPRODUCT(('Projects Overview'!$B$2:$B$5021="Ram Block")*('Projects Overview'!$G$2:$G$5021="Firm")*('Projects Overview'!W$2:W$5021))</f>
        <v>260</v>
      </c>
      <c r="O30" s="104" cm="1">
        <f t="array" ref="O30">SUMPRODUCT(('Projects Overview'!$B$2:$B$5021="Ram Block")*('Projects Overview'!$G$2:$G$5021="Firm")*('Projects Overview'!X$2:X$5021))</f>
        <v>0</v>
      </c>
      <c r="P30" s="104" cm="1">
        <f t="array" ref="P30">SUMPRODUCT(('Projects Overview'!$B$2:$B$5021="Ram Block")*('Projects Overview'!$G$2:$G$5021="Firm")*('Projects Overview'!Y$2:Y$5021))</f>
        <v>0</v>
      </c>
      <c r="Q30" s="104" cm="1">
        <f t="array" ref="Q30">SUMPRODUCT(('Projects Overview'!$B$2:$B$5021="Ram Block")*('Projects Overview'!$G$2:$G$5021="Firm")*('Projects Overview'!Z$2:Z$5021))</f>
        <v>0</v>
      </c>
      <c r="R30" s="104" cm="1">
        <f t="array" ref="R30">SUMPRODUCT(('Projects Overview'!$B$2:$B$5021="Ram Block")*('Projects Overview'!$G$2:$G$5021="Firm")*('Projects Overview'!AA$2:AA$5021))</f>
        <v>0</v>
      </c>
      <c r="S30" s="104" cm="1">
        <f t="array" ref="S30">SUMPRODUCT(('Projects Overview'!$B$2:$B$5021="Ram Block")*('Projects Overview'!$G$2:$G$5021="Firm")*('Projects Overview'!AB$2:AB$5021))</f>
        <v>0</v>
      </c>
      <c r="T30" s="104" cm="1">
        <f t="array" ref="T30">SUMPRODUCT(('Projects Overview'!$B$2:$B$5021="Ram Block")*('Projects Overview'!$G$2:$G$5021="Firm")*('Projects Overview'!AC$2:AC$5021))</f>
        <v>0</v>
      </c>
      <c r="U30" s="104" cm="1">
        <f t="array" ref="U30">SUMPRODUCT(('Projects Overview'!$B$2:$B$5021="Ram Block")*('Projects Overview'!$G$2:$G$5021="Firm")*('Projects Overview'!AD$2:AD$5021))</f>
        <v>0</v>
      </c>
      <c r="V30" s="104" cm="1">
        <f t="array" ref="V30">SUMPRODUCT(('Projects Overview'!$B$2:$B$5021="Ram Block")*('Projects Overview'!$G$2:$G$5021="Firm")*('Projects Overview'!AE$2:AE$5021))</f>
        <v>0</v>
      </c>
      <c r="W30" s="104" cm="1">
        <f t="array" ref="W30">SUMPRODUCT(('Projects Overview'!$B$2:$B$5021="Ram Block")*('Projects Overview'!$G$2:$G$5021="Firm")*('Projects Overview'!AF$2:AF$5021))</f>
        <v>0</v>
      </c>
      <c r="X30" s="104" cm="1">
        <f t="array" ref="X30">SUMPRODUCT(('Projects Overview'!$B$2:$B$5021="Ram Block")*('Projects Overview'!$G$2:$G$5021="Firm")*('Projects Overview'!AG$2:AG$5021))</f>
        <v>0</v>
      </c>
      <c r="Y30" s="104" cm="1">
        <f t="array" ref="Y30">SUMPRODUCT(('Projects Overview'!$B$2:$B$5021="Ram Block")*('Projects Overview'!$G$2:$G$5021="Firm")*('Projects Overview'!AH$2:AH$5021))</f>
        <v>0</v>
      </c>
      <c r="Z30" s="104" cm="1">
        <f t="array" ref="Z30">SUMPRODUCT(('Projects Overview'!$B$2:$B$5021="Ram Block")*('Projects Overview'!$G$2:$G$5021="Firm")*('Projects Overview'!AI$2:AI$5021))</f>
        <v>0</v>
      </c>
      <c r="AA30" s="104" cm="1">
        <f t="array" ref="AA30">SUMPRODUCT(('Projects Overview'!$B$2:$B$5021="Ram Block")*('Projects Overview'!$G$2:$G$5021="Firm")*('Projects Overview'!AJ$2:AJ$5021))</f>
        <v>0</v>
      </c>
      <c r="AB30" s="104" cm="1">
        <f t="array" ref="AB30">SUMPRODUCT(('Projects Overview'!$B$2:$B$5021="Ram Block")*('Projects Overview'!$G$2:$G$5021="Firm")*('Projects Overview'!AK$2:AK$5021))</f>
        <v>0</v>
      </c>
      <c r="AC30" s="104" cm="1">
        <f t="array" ref="AC30">SUMPRODUCT(('Projects Overview'!$B$2:$B$5021="Ram Block")*('Projects Overview'!$G$2:$G$5021="Firm")*('Projects Overview'!AL$2:AL$5021))</f>
        <v>0</v>
      </c>
      <c r="AD30" s="104" cm="1">
        <f t="array" ref="AD30">SUMPRODUCT(('Projects Overview'!$B$2:$B$5021="Ram Block")*('Projects Overview'!$G$2:$G$5021="Firm")*('Projects Overview'!AM$2:AM$5021))</f>
        <v>0</v>
      </c>
      <c r="AE30" s="104" cm="1">
        <f t="array" ref="AE30">SUMPRODUCT(('Projects Overview'!$B$2:$B$5021="Ram Block")*('Projects Overview'!$G$2:$G$5021="Firm")*('Projects Overview'!AN$2:AN$5021))</f>
        <v>0</v>
      </c>
      <c r="AF30" s="104" cm="1">
        <f t="array" ref="AF30">SUMPRODUCT(('Projects Overview'!$B$2:$B$5021="Ram Block")*('Projects Overview'!$G$2:$G$5021="Firm")*('Projects Overview'!AO$2:AO$5021))</f>
        <v>0</v>
      </c>
      <c r="AG30" s="104" cm="1">
        <f t="array" ref="AG30">SUMPRODUCT(('Projects Overview'!$B$2:$B$5021="Ram Block")*('Projects Overview'!$G$2:$G$5021="Firm")*('Projects Overview'!AP$2:AP$5021))</f>
        <v>0</v>
      </c>
      <c r="AH30" s="104" cm="1">
        <f t="array" ref="AH30">SUMPRODUCT(('Projects Overview'!$B$2:$B$5021="Ram Block")*('Projects Overview'!$G$2:$G$5021="Firm")*('Projects Overview'!AQ$2:AQ$5021))</f>
        <v>0</v>
      </c>
      <c r="AI30" s="104" cm="1">
        <f t="array" ref="AI30">SUMPRODUCT(('Projects Overview'!$B$2:$B$5021="Ram Block")*('Projects Overview'!$G$2:$G$5021="Firm")*('Projects Overview'!AR$2:AR$5021))</f>
        <v>0</v>
      </c>
      <c r="AJ30" s="104" cm="1">
        <f t="array" ref="AJ30">SUMPRODUCT(('Projects Overview'!$B$2:$B$5021="Ram Block")*('Projects Overview'!$G$2:$G$5021="Firm")*('Projects Overview'!AS$2:AS$5021))</f>
        <v>0</v>
      </c>
      <c r="AK30" s="104" cm="1">
        <f t="array" ref="AK30">SUMPRODUCT(('Projects Overview'!$B$2:$B$5021="Ram Block")*('Projects Overview'!$G$2:$G$5021="Firm")*('Projects Overview'!AT$2:AT$5021))</f>
        <v>0</v>
      </c>
      <c r="AL30" s="104" cm="1">
        <f t="array" ref="AL30">SUMPRODUCT(('Projects Overview'!$B$2:$B$5021="Ram Block")*('Projects Overview'!$G$2:$G$5021="Firm")*('Projects Overview'!AU$2:AU$5021))</f>
        <v>0</v>
      </c>
      <c r="AM30" s="104" cm="1">
        <f t="array" ref="AM30">SUMPRODUCT(('Projects Overview'!$B$2:$B$5021="Ram Block")*('Projects Overview'!$G$2:$G$5021="Firm")*('Projects Overview'!AV$2:AV$5021))</f>
        <v>0</v>
      </c>
      <c r="AN30" s="9"/>
      <c r="AO30" s="9"/>
      <c r="AP30" s="9"/>
    </row>
    <row r="31" spans="1:60" x14ac:dyDescent="0.35">
      <c r="A31" s="222"/>
      <c r="B31" s="227"/>
      <c r="C31" s="2" t="s">
        <v>6</v>
      </c>
      <c r="D31" s="104">
        <v>0</v>
      </c>
      <c r="E31" s="104">
        <v>0</v>
      </c>
      <c r="F31" s="104">
        <v>0</v>
      </c>
      <c r="G31" s="104">
        <v>0</v>
      </c>
      <c r="H31" s="104">
        <v>0</v>
      </c>
      <c r="I31" s="104" cm="1">
        <f t="array" ref="I31">SUMPRODUCT(('Projects Overview'!$B$2:$B$5021="Ram Block")*('Projects Overview'!$G$2:$G$5021="Risk Release")*('Projects Overview'!R$2:R$5021))</f>
        <v>0</v>
      </c>
      <c r="J31" s="104" cm="1">
        <f t="array" ref="J31">SUMPRODUCT(('Projects Overview'!$B$2:$B$5021="Ram Block")*('Projects Overview'!$G$2:$G$5021="Risk Release")*('Projects Overview'!S$2:S$5021))</f>
        <v>0</v>
      </c>
      <c r="K31" s="104" cm="1">
        <f t="array" ref="K31">SUMPRODUCT(('Projects Overview'!$B$2:$B$5021="Ram Block")*('Projects Overview'!$G$2:$G$5021="Risk Release")*('Projects Overview'!T$2:T$5021))</f>
        <v>0</v>
      </c>
      <c r="L31" s="104" cm="1">
        <f t="array" ref="L31">SUMPRODUCT(('Projects Overview'!$B$2:$B$5021="Ram Block")*('Projects Overview'!$G$2:$G$5021="Risk Release")*('Projects Overview'!U$2:U$5021))</f>
        <v>0</v>
      </c>
      <c r="M31" s="104" cm="1">
        <f t="array" ref="M31">SUMPRODUCT(('Projects Overview'!$B$2:$B$5021="Ram Block")*('Projects Overview'!$G$2:$G$5021="Risk Release")*('Projects Overview'!V$2:V$5021))</f>
        <v>0</v>
      </c>
      <c r="N31" s="104" cm="1">
        <f t="array" ref="N31">SUMPRODUCT(('Projects Overview'!$B$2:$B$5021="Ram Block")*('Projects Overview'!$G$2:$G$5021="Risk Release")*('Projects Overview'!W$2:W$5021))</f>
        <v>0</v>
      </c>
      <c r="O31" s="104" cm="1">
        <f t="array" ref="O31">SUMPRODUCT(('Projects Overview'!$B$2:$B$5021="Ram Block")*('Projects Overview'!$G$2:$G$5021="Risk Release")*('Projects Overview'!X$2:X$5021))</f>
        <v>0</v>
      </c>
      <c r="P31" s="104" cm="1">
        <f t="array" ref="P31">SUMPRODUCT(('Projects Overview'!$B$2:$B$5021="Ram Block")*('Projects Overview'!$G$2:$G$5021="Risk Release")*('Projects Overview'!Y$2:Y$5021))</f>
        <v>0</v>
      </c>
      <c r="Q31" s="104" cm="1">
        <f t="array" ref="Q31">SUMPRODUCT(('Projects Overview'!$B$2:$B$5021="Ram Block")*('Projects Overview'!$G$2:$G$5021="Risk Release")*('Projects Overview'!Z$2:Z$5021))</f>
        <v>0</v>
      </c>
      <c r="R31" s="104" cm="1">
        <f t="array" ref="R31">SUMPRODUCT(('Projects Overview'!$B$2:$B$5021="Ram Block")*('Projects Overview'!$G$2:$G$5021="Risk Release")*('Projects Overview'!AA$2:AA$5021))</f>
        <v>0</v>
      </c>
      <c r="S31" s="104" cm="1">
        <f t="array" ref="S31">SUMPRODUCT(('Projects Overview'!$B$2:$B$5021="Ram Block")*('Projects Overview'!$G$2:$G$5021="Risk Release")*('Projects Overview'!AB$2:AB$5021))</f>
        <v>0</v>
      </c>
      <c r="T31" s="104" cm="1">
        <f t="array" ref="T31">SUMPRODUCT(('Projects Overview'!$B$2:$B$5021="Ram Block")*('Projects Overview'!$G$2:$G$5021="Risk Release")*('Projects Overview'!AC$2:AC$5021))</f>
        <v>0</v>
      </c>
      <c r="U31" s="104" cm="1">
        <f t="array" ref="U31">SUMPRODUCT(('Projects Overview'!$B$2:$B$5021="Ram Block")*('Projects Overview'!$G$2:$G$5021="Risk Release")*('Projects Overview'!AD$2:AD$5021))</f>
        <v>0</v>
      </c>
      <c r="V31" s="104" cm="1">
        <f t="array" ref="V31">SUMPRODUCT(('Projects Overview'!$B$2:$B$5021="Ram Block")*('Projects Overview'!$G$2:$G$5021="Risk Release")*('Projects Overview'!AE$2:AE$5021))</f>
        <v>0</v>
      </c>
      <c r="W31" s="104" cm="1">
        <f t="array" ref="W31">SUMPRODUCT(('Projects Overview'!$B$2:$B$5021="Ram Block")*('Projects Overview'!$G$2:$G$5021="Risk Release")*('Projects Overview'!AF$2:AF$5021))</f>
        <v>0</v>
      </c>
      <c r="X31" s="104" cm="1">
        <f t="array" ref="X31">SUMPRODUCT(('Projects Overview'!$B$2:$B$5021="Ram Block")*('Projects Overview'!$G$2:$G$5021="Risk Release")*('Projects Overview'!AG$2:AG$5021))</f>
        <v>0</v>
      </c>
      <c r="Y31" s="104" cm="1">
        <f t="array" ref="Y31">SUMPRODUCT(('Projects Overview'!$B$2:$B$5021="Ram Block")*('Projects Overview'!$G$2:$G$5021="Risk Release")*('Projects Overview'!AH$2:AH$5021))</f>
        <v>0</v>
      </c>
      <c r="Z31" s="104" cm="1">
        <f t="array" ref="Z31">SUMPRODUCT(('Projects Overview'!$B$2:$B$5021="Ram Block")*('Projects Overview'!$G$2:$G$5021="Risk Release")*('Projects Overview'!AI$2:AI$5021))</f>
        <v>0</v>
      </c>
      <c r="AA31" s="104" cm="1">
        <f t="array" ref="AA31">SUMPRODUCT(('Projects Overview'!$B$2:$B$5021="Ram Block")*('Projects Overview'!$G$2:$G$5021="Risk Release")*('Projects Overview'!AJ$2:AJ$5021))</f>
        <v>0</v>
      </c>
      <c r="AB31" s="104" cm="1">
        <f t="array" ref="AB31">SUMPRODUCT(('Projects Overview'!$B$2:$B$5021="Ram Block")*('Projects Overview'!$G$2:$G$5021="Risk Release")*('Projects Overview'!AK$2:AK$5021))</f>
        <v>0</v>
      </c>
      <c r="AC31" s="104" cm="1">
        <f t="array" ref="AC31">SUMPRODUCT(('Projects Overview'!$B$2:$B$5021="Ram Block")*('Projects Overview'!$G$2:$G$5021="Risk Release")*('Projects Overview'!AL$2:AL$5021))</f>
        <v>0</v>
      </c>
      <c r="AD31" s="104" cm="1">
        <f t="array" ref="AD31">SUMPRODUCT(('Projects Overview'!$B$2:$B$5021="Ram Block")*('Projects Overview'!$G$2:$G$5021="Risk Release")*('Projects Overview'!AM$2:AM$5021))</f>
        <v>0</v>
      </c>
      <c r="AE31" s="104" cm="1">
        <f t="array" ref="AE31">SUMPRODUCT(('Projects Overview'!$B$2:$B$5021="Ram Block")*('Projects Overview'!$G$2:$G$5021="Risk Release")*('Projects Overview'!AN$2:AN$5021))</f>
        <v>0</v>
      </c>
      <c r="AF31" s="104" cm="1">
        <f t="array" ref="AF31">SUMPRODUCT(('Projects Overview'!$B$2:$B$5021="Ram Block")*('Projects Overview'!$G$2:$G$5021="Risk Release")*('Projects Overview'!AO$2:AO$5021))</f>
        <v>0</v>
      </c>
      <c r="AG31" s="104" cm="1">
        <f t="array" ref="AG31">SUMPRODUCT(('Projects Overview'!$B$2:$B$5021="Ram Block")*('Projects Overview'!$G$2:$G$5021="Risk Release")*('Projects Overview'!AP$2:AP$5021))</f>
        <v>0</v>
      </c>
      <c r="AH31" s="104" cm="1">
        <f t="array" ref="AH31">SUMPRODUCT(('Projects Overview'!$B$2:$B$5021="Ram Block")*('Projects Overview'!$G$2:$G$5021="Risk Release")*('Projects Overview'!AQ$2:AQ$5021))</f>
        <v>0</v>
      </c>
      <c r="AI31" s="104" cm="1">
        <f t="array" ref="AI31">SUMPRODUCT(('Projects Overview'!$B$2:$B$5021="Ram Block")*('Projects Overview'!$G$2:$G$5021="Risk Release")*('Projects Overview'!AR$2:AR$5021))</f>
        <v>0</v>
      </c>
      <c r="AJ31" s="104" cm="1">
        <f t="array" ref="AJ31">SUMPRODUCT(('Projects Overview'!$B$2:$B$5021="Ram Block")*('Projects Overview'!$G$2:$G$5021="Risk Release")*('Projects Overview'!AS$2:AS$5021))</f>
        <v>0</v>
      </c>
      <c r="AK31" s="104" cm="1">
        <f t="array" ref="AK31">SUMPRODUCT(('Projects Overview'!$B$2:$B$5021="Ram Block")*('Projects Overview'!$G$2:$G$5021="Risk Release")*('Projects Overview'!AT$2:AT$5021))</f>
        <v>0</v>
      </c>
      <c r="AL31" s="104" cm="1">
        <f t="array" ref="AL31">SUMPRODUCT(('Projects Overview'!$B$2:$B$5021="Ram Block")*('Projects Overview'!$G$2:$G$5021="Risk Release")*('Projects Overview'!AU$2:AU$5021))</f>
        <v>0</v>
      </c>
      <c r="AM31" s="104" cm="1">
        <f t="array" ref="AM31">SUMPRODUCT(('Projects Overview'!$B$2:$B$5021="Ram Block")*('Projects Overview'!$G$2:$G$5021="Risk Release")*('Projects Overview'!AV$2:AV$5021))</f>
        <v>0</v>
      </c>
      <c r="AN31" s="9"/>
      <c r="AO31" s="9"/>
      <c r="AP31" s="9"/>
    </row>
    <row r="32" spans="1:60" x14ac:dyDescent="0.35">
      <c r="A32" s="222"/>
      <c r="B32" s="228"/>
      <c r="C32" s="3" t="s">
        <v>8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  <c r="I32" s="104" cm="1">
        <f t="array" ref="I32">SUMPRODUCT(('Projects Overview'!$B$2:$B$5021="Ram Block")*('Projects Overview'!$G$2:$G$5021="Forecast")*('Projects Overview'!R$2:R$5021))</f>
        <v>0</v>
      </c>
      <c r="J32" s="104" cm="1">
        <f t="array" ref="J32">SUMPRODUCT(('Projects Overview'!$B$2:$B$5021="Ram Block")*('Projects Overview'!$G$2:$G$5021="Forecast")*('Projects Overview'!S$2:S$5021))</f>
        <v>0</v>
      </c>
      <c r="K32" s="104" cm="1">
        <f t="array" ref="K32">SUMPRODUCT(('Projects Overview'!$B$2:$B$5021="Ram Block")*('Projects Overview'!$G$2:$G$5021="Forecast")*('Projects Overview'!T$2:T$5021))</f>
        <v>0</v>
      </c>
      <c r="L32" s="104" cm="1">
        <f t="array" ref="L32">SUMPRODUCT(('Projects Overview'!$B$2:$B$5021="Ram Block")*('Projects Overview'!$G$2:$G$5021="Forecast")*('Projects Overview'!U$2:U$5021))</f>
        <v>0</v>
      </c>
      <c r="M32" s="104" cm="1">
        <f t="array" ref="M32">SUMPRODUCT(('Projects Overview'!$B$2:$B$5021="Ram Block")*('Projects Overview'!$G$2:$G$5021="Forecast")*('Projects Overview'!V$2:V$5021))</f>
        <v>0</v>
      </c>
      <c r="N32" s="104" cm="1">
        <f t="array" ref="N32">SUMPRODUCT(('Projects Overview'!$B$2:$B$5021="Ram Block")*('Projects Overview'!$G$2:$G$5021="Forecast")*('Projects Overview'!W$2:W$5021))</f>
        <v>0</v>
      </c>
      <c r="O32" s="104" cm="1">
        <f t="array" ref="O32">SUMPRODUCT(('Projects Overview'!$B$2:$B$5021="Ram Block")*('Projects Overview'!$G$2:$G$5021="Forecast")*('Projects Overview'!X$2:X$5021))</f>
        <v>0</v>
      </c>
      <c r="P32" s="104" cm="1">
        <f t="array" ref="P32">SUMPRODUCT(('Projects Overview'!$B$2:$B$5021="Ram Block")*('Projects Overview'!$G$2:$G$5021="Forecast")*('Projects Overview'!Y$2:Y$5021))</f>
        <v>0</v>
      </c>
      <c r="Q32" s="104" cm="1">
        <f t="array" ref="Q32">SUMPRODUCT(('Projects Overview'!$B$2:$B$5021="Ram Block")*('Projects Overview'!$G$2:$G$5021="Forecast")*('Projects Overview'!Z$2:Z$5021))</f>
        <v>0</v>
      </c>
      <c r="R32" s="104" cm="1">
        <f t="array" ref="R32">SUMPRODUCT(('Projects Overview'!$B$2:$B$5021="Ram Block")*('Projects Overview'!$G$2:$G$5021="Forecast")*('Projects Overview'!AA$2:AA$5021))</f>
        <v>0</v>
      </c>
      <c r="S32" s="104" cm="1">
        <f t="array" ref="S32">SUMPRODUCT(('Projects Overview'!$B$2:$B$5021="Ram Block")*('Projects Overview'!$G$2:$G$5021="Forecast")*('Projects Overview'!AB$2:AB$5021))</f>
        <v>0</v>
      </c>
      <c r="T32" s="104" cm="1">
        <f t="array" ref="T32">SUMPRODUCT(('Projects Overview'!$B$2:$B$5021="Ram Block")*('Projects Overview'!$G$2:$G$5021="Forecast")*('Projects Overview'!AC$2:AC$5021))</f>
        <v>0</v>
      </c>
      <c r="U32" s="104" cm="1">
        <f t="array" ref="U32">SUMPRODUCT(('Projects Overview'!$B$2:$B$5021="Ram Block")*('Projects Overview'!$G$2:$G$5021="Forecast")*('Projects Overview'!AD$2:AD$5021))</f>
        <v>0</v>
      </c>
      <c r="V32" s="104" cm="1">
        <f t="array" ref="V32">SUMPRODUCT(('Projects Overview'!$B$2:$B$5021="Ram Block")*('Projects Overview'!$G$2:$G$5021="Forecast")*('Projects Overview'!AE$2:AE$5021))</f>
        <v>0</v>
      </c>
      <c r="W32" s="104" cm="1">
        <f t="array" ref="W32">SUMPRODUCT(('Projects Overview'!$B$2:$B$5021="Ram Block")*('Projects Overview'!$G$2:$G$5021="Forecast")*('Projects Overview'!AF$2:AF$5021))</f>
        <v>0</v>
      </c>
      <c r="X32" s="104" cm="1">
        <f t="array" ref="X32">SUMPRODUCT(('Projects Overview'!$B$2:$B$5021="Ram Block")*('Projects Overview'!$G$2:$G$5021="Forecast")*('Projects Overview'!AG$2:AG$5021))</f>
        <v>0</v>
      </c>
      <c r="Y32" s="104" cm="1">
        <f t="array" ref="Y32">SUMPRODUCT(('Projects Overview'!$B$2:$B$5021="Ram Block")*('Projects Overview'!$G$2:$G$5021="Forecast")*('Projects Overview'!AH$2:AH$5021))</f>
        <v>0</v>
      </c>
      <c r="Z32" s="104" cm="1">
        <f t="array" ref="Z32">SUMPRODUCT(('Projects Overview'!$B$2:$B$5021="Ram Block")*('Projects Overview'!$G$2:$G$5021="Forecast")*('Projects Overview'!AI$2:AI$5021))</f>
        <v>0</v>
      </c>
      <c r="AA32" s="104" cm="1">
        <f t="array" ref="AA32">SUMPRODUCT(('Projects Overview'!$B$2:$B$5021="Ram Block")*('Projects Overview'!$G$2:$G$5021="Forecast")*('Projects Overview'!AJ$2:AJ$5021))</f>
        <v>0</v>
      </c>
      <c r="AB32" s="104" cm="1">
        <f t="array" ref="AB32">SUMPRODUCT(('Projects Overview'!$B$2:$B$5021="Ram Block")*('Projects Overview'!$G$2:$G$5021="Forecast")*('Projects Overview'!AK$2:AK$5021))</f>
        <v>0</v>
      </c>
      <c r="AC32" s="104" cm="1">
        <f t="array" ref="AC32">SUMPRODUCT(('Projects Overview'!$B$2:$B$5021="Ram Block")*('Projects Overview'!$G$2:$G$5021="Forecast")*('Projects Overview'!AL$2:AL$5021))</f>
        <v>0</v>
      </c>
      <c r="AD32" s="104" cm="1">
        <f t="array" ref="AD32">SUMPRODUCT(('Projects Overview'!$B$2:$B$5021="Ram Block")*('Projects Overview'!$G$2:$G$5021="Forecast")*('Projects Overview'!AM$2:AM$5021))</f>
        <v>0</v>
      </c>
      <c r="AE32" s="104" cm="1">
        <f t="array" ref="AE32">SUMPRODUCT(('Projects Overview'!$B$2:$B$5021="Ram Block")*('Projects Overview'!$G$2:$G$5021="Forecast")*('Projects Overview'!AN$2:AN$5021))</f>
        <v>0</v>
      </c>
      <c r="AF32" s="104" cm="1">
        <f t="array" ref="AF32">SUMPRODUCT(('Projects Overview'!$B$2:$B$5021="Ram Block")*('Projects Overview'!$G$2:$G$5021="Forecast")*('Projects Overview'!AO$2:AO$5021))</f>
        <v>0</v>
      </c>
      <c r="AG32" s="104" cm="1">
        <f t="array" ref="AG32">SUMPRODUCT(('Projects Overview'!$B$2:$B$5021="Ram Block")*('Projects Overview'!$G$2:$G$5021="Forecast")*('Projects Overview'!AP$2:AP$5021))</f>
        <v>0</v>
      </c>
      <c r="AH32" s="104" cm="1">
        <f t="array" ref="AH32">SUMPRODUCT(('Projects Overview'!$B$2:$B$5021="Ram Block")*('Projects Overview'!$G$2:$G$5021="Forecast")*('Projects Overview'!AQ$2:AQ$5021))</f>
        <v>0</v>
      </c>
      <c r="AI32" s="104" cm="1">
        <f t="array" ref="AI32">SUMPRODUCT(('Projects Overview'!$B$2:$B$5021="Ram Block")*('Projects Overview'!$G$2:$G$5021="Forecast")*('Projects Overview'!AR$2:AR$5021))</f>
        <v>0</v>
      </c>
      <c r="AJ32" s="104" cm="1">
        <f t="array" ref="AJ32">SUMPRODUCT(('Projects Overview'!$B$2:$B$5021="Ram Block")*('Projects Overview'!$G$2:$G$5021="Forecast")*('Projects Overview'!AS$2:AS$5021))</f>
        <v>0</v>
      </c>
      <c r="AK32" s="104" cm="1">
        <f t="array" ref="AK32">SUMPRODUCT(('Projects Overview'!$B$2:$B$5021="Ram Block")*('Projects Overview'!$G$2:$G$5021="Forecast")*('Projects Overview'!AT$2:AT$5021))</f>
        <v>0</v>
      </c>
      <c r="AL32" s="104" cm="1">
        <f t="array" ref="AL32">SUMPRODUCT(('Projects Overview'!$B$2:$B$5021="Ram Block")*('Projects Overview'!$G$2:$G$5021="Forecast")*('Projects Overview'!AU$2:AU$5021))</f>
        <v>0</v>
      </c>
      <c r="AM32" s="104" cm="1">
        <f t="array" ref="AM32">SUMPRODUCT(('Projects Overview'!$B$2:$B$5021="Ram Block")*('Projects Overview'!$G$2:$G$5021="Forecast")*('Projects Overview'!AV$2:AV$5021))</f>
        <v>0</v>
      </c>
      <c r="AN32" s="9"/>
      <c r="AO32" s="9"/>
      <c r="AP32" s="9"/>
    </row>
    <row r="33" spans="1:63" x14ac:dyDescent="0.35">
      <c r="A33" s="222"/>
      <c r="B33" s="232" t="s">
        <v>118</v>
      </c>
      <c r="C33" s="1" t="s">
        <v>4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 cm="1">
        <f t="array" ref="I33">SUMPRODUCT(('Projects Overview'!$B$2:$B$5021="Ram BOP")*('Projects Overview'!$G$2:$G$5021="Firm")*('Projects Overview'!R$2:R$5021))</f>
        <v>0</v>
      </c>
      <c r="J33" s="104" cm="1">
        <f t="array" ref="J33">SUMPRODUCT(('Projects Overview'!$B$2:$B$5021="Ram BOP")*('Projects Overview'!$G$2:$G$5021="Firm")*('Projects Overview'!S$2:S$5021))</f>
        <v>0</v>
      </c>
      <c r="K33" s="104" cm="1">
        <f t="array" ref="K33">SUMPRODUCT(('Projects Overview'!$B$2:$B$5021="Ram BOP")*('Projects Overview'!$G$2:$G$5021="Firm")*('Projects Overview'!T$2:T$5021))</f>
        <v>0</v>
      </c>
      <c r="L33" s="104" cm="1">
        <f t="array" ref="L33">SUMPRODUCT(('Projects Overview'!$B$2:$B$5021="Ram BOP")*('Projects Overview'!$G$2:$G$5021="Firm")*('Projects Overview'!U$2:U$5021))</f>
        <v>0</v>
      </c>
      <c r="M33" s="104" cm="1">
        <f t="array" ref="M33">SUMPRODUCT(('Projects Overview'!$B$2:$B$5021="Ram BOP")*('Projects Overview'!$G$2:$G$5021="Firm")*('Projects Overview'!V$2:V$5021))</f>
        <v>0</v>
      </c>
      <c r="N33" s="104" cm="1">
        <f t="array" ref="N33">SUMPRODUCT(('Projects Overview'!$B$2:$B$5021="Ram BOP")*('Projects Overview'!$G$2:$G$5021="Firm")*('Projects Overview'!W$2:W$5021))</f>
        <v>0</v>
      </c>
      <c r="O33" s="104" cm="1">
        <f t="array" ref="O33">SUMPRODUCT(('Projects Overview'!$B$2:$B$5021="Ram BOP")*('Projects Overview'!$G$2:$G$5021="Firm")*('Projects Overview'!X$2:X$5021))</f>
        <v>0</v>
      </c>
      <c r="P33" s="104" cm="1">
        <f t="array" ref="P33">SUMPRODUCT(('Projects Overview'!$B$2:$B$5021="Ram BOP")*('Projects Overview'!$G$2:$G$5021="Firm")*('Projects Overview'!Y$2:Y$5021))</f>
        <v>0</v>
      </c>
      <c r="Q33" s="104" cm="1">
        <f t="array" ref="Q33">SUMPRODUCT(('Projects Overview'!$B$2:$B$5021="Ram BOP")*('Projects Overview'!$G$2:$G$5021="Firm")*('Projects Overview'!Z$2:Z$5021))</f>
        <v>0</v>
      </c>
      <c r="R33" s="104" cm="1">
        <f t="array" ref="R33">SUMPRODUCT(('Projects Overview'!$B$2:$B$5021="Ram BOP")*('Projects Overview'!$G$2:$G$5021="Firm")*('Projects Overview'!AA$2:AA$5021))</f>
        <v>0</v>
      </c>
      <c r="S33" s="104" cm="1">
        <f t="array" ref="S33">SUMPRODUCT(('Projects Overview'!$B$2:$B$5021="Ram BOP")*('Projects Overview'!$G$2:$G$5021="Firm")*('Projects Overview'!AB$2:AB$5021))</f>
        <v>0</v>
      </c>
      <c r="T33" s="104" cm="1">
        <f t="array" ref="T33">SUMPRODUCT(('Projects Overview'!$B$2:$B$5021="Ram BOP")*('Projects Overview'!$G$2:$G$5021="Firm")*('Projects Overview'!AC$2:AC$5021))</f>
        <v>0</v>
      </c>
      <c r="U33" s="104" cm="1">
        <f t="array" ref="U33">SUMPRODUCT(('Projects Overview'!$B$2:$B$5021="Ram BOP")*('Projects Overview'!$G$2:$G$5021="Firm")*('Projects Overview'!AD$2:AD$5021))</f>
        <v>0</v>
      </c>
      <c r="V33" s="104" cm="1">
        <f t="array" ref="V33">SUMPRODUCT(('Projects Overview'!$B$2:$B$5021="Ram BOP")*('Projects Overview'!$G$2:$G$5021="Firm")*('Projects Overview'!AE$2:AE$5021))</f>
        <v>0</v>
      </c>
      <c r="W33" s="104" cm="1">
        <f t="array" ref="W33">SUMPRODUCT(('Projects Overview'!$B$2:$B$5021="Ram BOP")*('Projects Overview'!$G$2:$G$5021="Firm")*('Projects Overview'!AF$2:AF$5021))</f>
        <v>0</v>
      </c>
      <c r="X33" s="104" cm="1">
        <f t="array" ref="X33">SUMPRODUCT(('Projects Overview'!$B$2:$B$5021="Ram BOP")*('Projects Overview'!$G$2:$G$5021="Firm")*('Projects Overview'!AG$2:AG$5021))</f>
        <v>0</v>
      </c>
      <c r="Y33" s="104" cm="1">
        <f t="array" ref="Y33">SUMPRODUCT(('Projects Overview'!$B$2:$B$5021="Ram BOP")*('Projects Overview'!$G$2:$G$5021="Firm")*('Projects Overview'!AH$2:AH$5021))</f>
        <v>0</v>
      </c>
      <c r="Z33" s="104" cm="1">
        <f t="array" ref="Z33">SUMPRODUCT(('Projects Overview'!$B$2:$B$5021="Ram BOP")*('Projects Overview'!$G$2:$G$5021="Firm")*('Projects Overview'!AI$2:AI$5021))</f>
        <v>0</v>
      </c>
      <c r="AA33" s="104" cm="1">
        <f t="array" ref="AA33">SUMPRODUCT(('Projects Overview'!$B$2:$B$5021="Ram BOP")*('Projects Overview'!$G$2:$G$5021="Firm")*('Projects Overview'!AJ$2:AJ$5021))</f>
        <v>0</v>
      </c>
      <c r="AB33" s="104" cm="1">
        <f t="array" ref="AB33">SUMPRODUCT(('Projects Overview'!$B$2:$B$5021="Ram BOP")*('Projects Overview'!$G$2:$G$5021="Firm")*('Projects Overview'!AK$2:AK$5021))</f>
        <v>0</v>
      </c>
      <c r="AC33" s="104" cm="1">
        <f t="array" ref="AC33">SUMPRODUCT(('Projects Overview'!$B$2:$B$5021="Ram BOP")*('Projects Overview'!$G$2:$G$5021="Firm")*('Projects Overview'!AL$2:AL$5021))</f>
        <v>0</v>
      </c>
      <c r="AD33" s="104" cm="1">
        <f t="array" ref="AD33">SUMPRODUCT(('Projects Overview'!$B$2:$B$5021="Ram BOP")*('Projects Overview'!$G$2:$G$5021="Firm")*('Projects Overview'!AM$2:AM$5021))</f>
        <v>0</v>
      </c>
      <c r="AE33" s="104" cm="1">
        <f t="array" ref="AE33">SUMPRODUCT(('Projects Overview'!$B$2:$B$5021="Ram BOP")*('Projects Overview'!$G$2:$G$5021="Firm")*('Projects Overview'!AN$2:AN$5021))</f>
        <v>0</v>
      </c>
      <c r="AF33" s="104" cm="1">
        <f t="array" ref="AF33">SUMPRODUCT(('Projects Overview'!$B$2:$B$5021="Ram BOP")*('Projects Overview'!$G$2:$G$5021="Firm")*('Projects Overview'!AO$2:AO$5021))</f>
        <v>0</v>
      </c>
      <c r="AG33" s="104" cm="1">
        <f t="array" ref="AG33">SUMPRODUCT(('Projects Overview'!$B$2:$B$5021="Ram BOP")*('Projects Overview'!$G$2:$G$5021="Firm")*('Projects Overview'!AP$2:AP$5021))</f>
        <v>0</v>
      </c>
      <c r="AH33" s="104" cm="1">
        <f t="array" ref="AH33">SUMPRODUCT(('Projects Overview'!$B$2:$B$5021="Ram BOP")*('Projects Overview'!$G$2:$G$5021="Firm")*('Projects Overview'!AQ$2:AQ$5021))</f>
        <v>0</v>
      </c>
      <c r="AI33" s="104" cm="1">
        <f t="array" ref="AI33">SUMPRODUCT(('Projects Overview'!$B$2:$B$5021="Ram BOP")*('Projects Overview'!$G$2:$G$5021="Firm")*('Projects Overview'!AR$2:AR$5021))</f>
        <v>0</v>
      </c>
      <c r="AJ33" s="104" cm="1">
        <f t="array" ref="AJ33">SUMPRODUCT(('Projects Overview'!$B$2:$B$5021="Ram BOP")*('Projects Overview'!$G$2:$G$5021="Firm")*('Projects Overview'!AS$2:AS$5021))</f>
        <v>0</v>
      </c>
      <c r="AK33" s="104" cm="1">
        <f t="array" ref="AK33">SUMPRODUCT(('Projects Overview'!$B$2:$B$5021="Ram BOP")*('Projects Overview'!$G$2:$G$5021="Firm")*('Projects Overview'!AT$2:AT$5021))</f>
        <v>0</v>
      </c>
      <c r="AL33" s="104" cm="1">
        <f t="array" ref="AL33">SUMPRODUCT(('Projects Overview'!$B$2:$B$5021="Ram BOP")*('Projects Overview'!$G$2:$G$5021="Firm")*('Projects Overview'!AU$2:AU$5021))</f>
        <v>0</v>
      </c>
      <c r="AM33" s="104" cm="1">
        <f t="array" ref="AM33">SUMPRODUCT(('Projects Overview'!$B$2:$B$5021="Ram BOP")*('Projects Overview'!$G$2:$G$5021="Firm")*('Projects Overview'!AV$2:AV$5021))</f>
        <v>0</v>
      </c>
      <c r="AN33" s="9"/>
      <c r="AO33" s="9"/>
      <c r="AP33" s="9"/>
    </row>
    <row r="34" spans="1:63" x14ac:dyDescent="0.35">
      <c r="A34" s="222"/>
      <c r="B34" s="227"/>
      <c r="C34" s="2" t="s">
        <v>6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 cm="1">
        <f t="array" ref="I34">SUMPRODUCT(('Projects Overview'!$B$2:$B$5021="Ram BOP")*('Projects Overview'!$G$2:$G$5021="Risk Release")*('Projects Overview'!R$2:R$5021))</f>
        <v>0</v>
      </c>
      <c r="J34" s="104" cm="1">
        <f t="array" ref="J34">SUMPRODUCT(('Projects Overview'!$B$2:$B$5021="Ram BOP")*('Projects Overview'!$G$2:$G$5021="Risk Release")*('Projects Overview'!S$2:S$5021))</f>
        <v>0</v>
      </c>
      <c r="K34" s="104" cm="1">
        <f t="array" ref="K34">SUMPRODUCT(('Projects Overview'!$B$2:$B$5021="Ram BOP")*('Projects Overview'!$G$2:$G$5021="Risk Release")*('Projects Overview'!T$2:T$5021))</f>
        <v>0</v>
      </c>
      <c r="L34" s="104" cm="1">
        <f t="array" ref="L34">SUMPRODUCT(('Projects Overview'!$B$2:$B$5021="Ram BOP")*('Projects Overview'!$G$2:$G$5021="Risk Release")*('Projects Overview'!U$2:U$5021))</f>
        <v>0</v>
      </c>
      <c r="M34" s="104" cm="1">
        <f t="array" ref="M34">SUMPRODUCT(('Projects Overview'!$B$2:$B$5021="Ram BOP")*('Projects Overview'!$G$2:$G$5021="Risk Release")*('Projects Overview'!V$2:V$5021))</f>
        <v>0</v>
      </c>
      <c r="N34" s="104" cm="1">
        <f t="array" ref="N34">SUMPRODUCT(('Projects Overview'!$B$2:$B$5021="Ram BOP")*('Projects Overview'!$G$2:$G$5021="Risk Release")*('Projects Overview'!W$2:W$5021))</f>
        <v>0</v>
      </c>
      <c r="O34" s="104" cm="1">
        <f t="array" ref="O34">SUMPRODUCT(('Projects Overview'!$B$2:$B$5021="Ram BOP")*('Projects Overview'!$G$2:$G$5021="Risk Release")*('Projects Overview'!X$2:X$5021))</f>
        <v>0</v>
      </c>
      <c r="P34" s="104" cm="1">
        <f t="array" ref="P34">SUMPRODUCT(('Projects Overview'!$B$2:$B$5021="Ram BOP")*('Projects Overview'!$G$2:$G$5021="Risk Release")*('Projects Overview'!Y$2:Y$5021))</f>
        <v>0</v>
      </c>
      <c r="Q34" s="104" cm="1">
        <f t="array" ref="Q34">SUMPRODUCT(('Projects Overview'!$B$2:$B$5021="Ram BOP")*('Projects Overview'!$G$2:$G$5021="Risk Release")*('Projects Overview'!Z$2:Z$5021))</f>
        <v>0</v>
      </c>
      <c r="R34" s="104" cm="1">
        <f t="array" ref="R34">SUMPRODUCT(('Projects Overview'!$B$2:$B$5021="Ram BOP")*('Projects Overview'!$G$2:$G$5021="Risk Release")*('Projects Overview'!AA$2:AA$5021))</f>
        <v>0</v>
      </c>
      <c r="S34" s="104" cm="1">
        <f t="array" ref="S34">SUMPRODUCT(('Projects Overview'!$B$2:$B$5021="Ram BOP")*('Projects Overview'!$G$2:$G$5021="Risk Release")*('Projects Overview'!AB$2:AB$5021))</f>
        <v>0</v>
      </c>
      <c r="T34" s="104" cm="1">
        <f t="array" ref="T34">SUMPRODUCT(('Projects Overview'!$B$2:$B$5021="Ram BOP")*('Projects Overview'!$G$2:$G$5021="Risk Release")*('Projects Overview'!AC$2:AC$5021))</f>
        <v>0</v>
      </c>
      <c r="U34" s="104" cm="1">
        <f t="array" ref="U34">SUMPRODUCT(('Projects Overview'!$B$2:$B$5021="Ram BOP")*('Projects Overview'!$G$2:$G$5021="Risk Release")*('Projects Overview'!AD$2:AD$5021))</f>
        <v>0</v>
      </c>
      <c r="V34" s="104" cm="1">
        <f t="array" ref="V34">SUMPRODUCT(('Projects Overview'!$B$2:$B$5021="Ram BOP")*('Projects Overview'!$G$2:$G$5021="Risk Release")*('Projects Overview'!AE$2:AE$5021))</f>
        <v>0</v>
      </c>
      <c r="W34" s="104" cm="1">
        <f t="array" ref="W34">SUMPRODUCT(('Projects Overview'!$B$2:$B$5021="Ram BOP")*('Projects Overview'!$G$2:$G$5021="Risk Release")*('Projects Overview'!AF$2:AF$5021))</f>
        <v>0</v>
      </c>
      <c r="X34" s="104" cm="1">
        <f t="array" ref="X34">SUMPRODUCT(('Projects Overview'!$B$2:$B$5021="Ram BOP")*('Projects Overview'!$G$2:$G$5021="Risk Release")*('Projects Overview'!AG$2:AG$5021))</f>
        <v>0</v>
      </c>
      <c r="Y34" s="104" cm="1">
        <f t="array" ref="Y34">SUMPRODUCT(('Projects Overview'!$B$2:$B$5021="Ram BOP")*('Projects Overview'!$G$2:$G$5021="Risk Release")*('Projects Overview'!AH$2:AH$5021))</f>
        <v>0</v>
      </c>
      <c r="Z34" s="104" cm="1">
        <f t="array" ref="Z34">SUMPRODUCT(('Projects Overview'!$B$2:$B$5021="Ram BOP")*('Projects Overview'!$G$2:$G$5021="Risk Release")*('Projects Overview'!AI$2:AI$5021))</f>
        <v>0</v>
      </c>
      <c r="AA34" s="104" cm="1">
        <f t="array" ref="AA34">SUMPRODUCT(('Projects Overview'!$B$2:$B$5021="Ram BOP")*('Projects Overview'!$G$2:$G$5021="Risk Release")*('Projects Overview'!AJ$2:AJ$5021))</f>
        <v>0</v>
      </c>
      <c r="AB34" s="104" cm="1">
        <f t="array" ref="AB34">SUMPRODUCT(('Projects Overview'!$B$2:$B$5021="Ram BOP")*('Projects Overview'!$G$2:$G$5021="Risk Release")*('Projects Overview'!AK$2:AK$5021))</f>
        <v>0</v>
      </c>
      <c r="AC34" s="104" cm="1">
        <f t="array" ref="AC34">SUMPRODUCT(('Projects Overview'!$B$2:$B$5021="Ram BOP")*('Projects Overview'!$G$2:$G$5021="Risk Release")*('Projects Overview'!AL$2:AL$5021))</f>
        <v>0</v>
      </c>
      <c r="AD34" s="104" cm="1">
        <f t="array" ref="AD34">SUMPRODUCT(('Projects Overview'!$B$2:$B$5021="Ram BOP")*('Projects Overview'!$G$2:$G$5021="Risk Release")*('Projects Overview'!AM$2:AM$5021))</f>
        <v>0</v>
      </c>
      <c r="AE34" s="104" cm="1">
        <f t="array" ref="AE34">SUMPRODUCT(('Projects Overview'!$B$2:$B$5021="Ram BOP")*('Projects Overview'!$G$2:$G$5021="Risk Release")*('Projects Overview'!AN$2:AN$5021))</f>
        <v>0</v>
      </c>
      <c r="AF34" s="104" cm="1">
        <f t="array" ref="AF34">SUMPRODUCT(('Projects Overview'!$B$2:$B$5021="Ram BOP")*('Projects Overview'!$G$2:$G$5021="Risk Release")*('Projects Overview'!AO$2:AO$5021))</f>
        <v>0</v>
      </c>
      <c r="AG34" s="104" cm="1">
        <f t="array" ref="AG34">SUMPRODUCT(('Projects Overview'!$B$2:$B$5021="Ram BOP")*('Projects Overview'!$G$2:$G$5021="Risk Release")*('Projects Overview'!AP$2:AP$5021))</f>
        <v>0</v>
      </c>
      <c r="AH34" s="104" cm="1">
        <f t="array" ref="AH34">SUMPRODUCT(('Projects Overview'!$B$2:$B$5021="Ram BOP")*('Projects Overview'!$G$2:$G$5021="Risk Release")*('Projects Overview'!AQ$2:AQ$5021))</f>
        <v>0</v>
      </c>
      <c r="AI34" s="104" cm="1">
        <f t="array" ref="AI34">SUMPRODUCT(('Projects Overview'!$B$2:$B$5021="Ram BOP")*('Projects Overview'!$G$2:$G$5021="Risk Release")*('Projects Overview'!AR$2:AR$5021))</f>
        <v>0</v>
      </c>
      <c r="AJ34" s="104" cm="1">
        <f t="array" ref="AJ34">SUMPRODUCT(('Projects Overview'!$B$2:$B$5021="Ram BOP")*('Projects Overview'!$G$2:$G$5021="Risk Release")*('Projects Overview'!AS$2:AS$5021))</f>
        <v>0</v>
      </c>
      <c r="AK34" s="104" cm="1">
        <f t="array" ref="AK34">SUMPRODUCT(('Projects Overview'!$B$2:$B$5021="Ram BOP")*('Projects Overview'!$G$2:$G$5021="Risk Release")*('Projects Overview'!AT$2:AT$5021))</f>
        <v>0</v>
      </c>
      <c r="AL34" s="104" cm="1">
        <f t="array" ref="AL34">SUMPRODUCT(('Projects Overview'!$B$2:$B$5021="Ram BOP")*('Projects Overview'!$G$2:$G$5021="Risk Release")*('Projects Overview'!AU$2:AU$5021))</f>
        <v>0</v>
      </c>
      <c r="AM34" s="104" cm="1">
        <f t="array" ref="AM34">SUMPRODUCT(('Projects Overview'!$B$2:$B$5021="Ram BOP")*('Projects Overview'!$G$2:$G$5021="Risk Release")*('Projects Overview'!AV$2:AV$5021))</f>
        <v>0</v>
      </c>
      <c r="AN34" s="9"/>
      <c r="AO34" s="9"/>
      <c r="AP34" s="9"/>
    </row>
    <row r="35" spans="1:63" ht="15" thickBot="1" x14ac:dyDescent="0.4">
      <c r="A35" s="223"/>
      <c r="B35" s="228"/>
      <c r="C35" s="3" t="s">
        <v>8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  <c r="I35" s="104" cm="1">
        <f t="array" ref="I35">SUMPRODUCT(('Projects Overview'!$B$2:$B$5021="Ram BOP")*('Projects Overview'!$G$2:$G$5021="Forecast")*('Projects Overview'!R$2:R$5021))</f>
        <v>0</v>
      </c>
      <c r="J35" s="104" cm="1">
        <f t="array" ref="J35">SUMPRODUCT(('Projects Overview'!$B$2:$B$5021="Ram BOP")*('Projects Overview'!$G$2:$G$5021="Forecast")*('Projects Overview'!S$2:S$5021))</f>
        <v>0</v>
      </c>
      <c r="K35" s="104" cm="1">
        <f t="array" ref="K35">SUMPRODUCT(('Projects Overview'!$B$2:$B$5021="Ram BOP")*('Projects Overview'!$G$2:$G$5021="Forecast")*('Projects Overview'!T$2:T$5021))</f>
        <v>0</v>
      </c>
      <c r="L35" s="104" cm="1">
        <f t="array" ref="L35">SUMPRODUCT(('Projects Overview'!$B$2:$B$5021="Ram BOP")*('Projects Overview'!$G$2:$G$5021="Forecast")*('Projects Overview'!U$2:U$5021))</f>
        <v>0</v>
      </c>
      <c r="M35" s="104" cm="1">
        <f t="array" ref="M35">SUMPRODUCT(('Projects Overview'!$B$2:$B$5021="Ram BOP")*('Projects Overview'!$G$2:$G$5021="Forecast")*('Projects Overview'!V$2:V$5021))</f>
        <v>0</v>
      </c>
      <c r="N35" s="104" cm="1">
        <f t="array" ref="N35">SUMPRODUCT(('Projects Overview'!$B$2:$B$5021="Ram BOP")*('Projects Overview'!$G$2:$G$5021="Forecast")*('Projects Overview'!W$2:W$5021))</f>
        <v>0</v>
      </c>
      <c r="O35" s="104" cm="1">
        <f t="array" ref="O35">SUMPRODUCT(('Projects Overview'!$B$2:$B$5021="Ram BOP")*('Projects Overview'!$G$2:$G$5021="Forecast")*('Projects Overview'!X$2:X$5021))</f>
        <v>0</v>
      </c>
      <c r="P35" s="104" cm="1">
        <f t="array" ref="P35">SUMPRODUCT(('Projects Overview'!$B$2:$B$5021="Ram BOP")*('Projects Overview'!$G$2:$G$5021="Forecast")*('Projects Overview'!Y$2:Y$5021))</f>
        <v>0</v>
      </c>
      <c r="Q35" s="104" cm="1">
        <f t="array" ref="Q35">SUMPRODUCT(('Projects Overview'!$B$2:$B$5021="Ram BOP")*('Projects Overview'!$G$2:$G$5021="Forecast")*('Projects Overview'!Z$2:Z$5021))</f>
        <v>0</v>
      </c>
      <c r="R35" s="104" cm="1">
        <f t="array" ref="R35">SUMPRODUCT(('Projects Overview'!$B$2:$B$5021="Ram BOP")*('Projects Overview'!$G$2:$G$5021="Forecast")*('Projects Overview'!AA$2:AA$5021))</f>
        <v>0</v>
      </c>
      <c r="S35" s="104" cm="1">
        <f t="array" ref="S35">SUMPRODUCT(('Projects Overview'!$B$2:$B$5021="Ram BOP")*('Projects Overview'!$G$2:$G$5021="Forecast")*('Projects Overview'!AB$2:AB$5021))</f>
        <v>0</v>
      </c>
      <c r="T35" s="104" cm="1">
        <f t="array" ref="T35">SUMPRODUCT(('Projects Overview'!$B$2:$B$5021="Ram BOP")*('Projects Overview'!$G$2:$G$5021="Forecast")*('Projects Overview'!AC$2:AC$5021))</f>
        <v>0</v>
      </c>
      <c r="U35" s="104" cm="1">
        <f t="array" ref="U35">SUMPRODUCT(('Projects Overview'!$B$2:$B$5021="Ram BOP")*('Projects Overview'!$G$2:$G$5021="Forecast")*('Projects Overview'!AD$2:AD$5021))</f>
        <v>0</v>
      </c>
      <c r="V35" s="104" cm="1">
        <f t="array" ref="V35">SUMPRODUCT(('Projects Overview'!$B$2:$B$5021="Ram BOP")*('Projects Overview'!$G$2:$G$5021="Forecast")*('Projects Overview'!AE$2:AE$5021))</f>
        <v>0</v>
      </c>
      <c r="W35" s="104" cm="1">
        <f t="array" ref="W35">SUMPRODUCT(('Projects Overview'!$B$2:$B$5021="Ram BOP")*('Projects Overview'!$G$2:$G$5021="Forecast")*('Projects Overview'!AF$2:AF$5021))</f>
        <v>0</v>
      </c>
      <c r="X35" s="104" cm="1">
        <f t="array" ref="X35">SUMPRODUCT(('Projects Overview'!$B$2:$B$5021="Ram BOP")*('Projects Overview'!$G$2:$G$5021="Forecast")*('Projects Overview'!AG$2:AG$5021))</f>
        <v>0</v>
      </c>
      <c r="Y35" s="104" cm="1">
        <f t="array" ref="Y35">SUMPRODUCT(('Projects Overview'!$B$2:$B$5021="Ram BOP")*('Projects Overview'!$G$2:$G$5021="Forecast")*('Projects Overview'!AH$2:AH$5021))</f>
        <v>0</v>
      </c>
      <c r="Z35" s="104" cm="1">
        <f t="array" ref="Z35">SUMPRODUCT(('Projects Overview'!$B$2:$B$5021="Ram BOP")*('Projects Overview'!$G$2:$G$5021="Forecast")*('Projects Overview'!AI$2:AI$5021))</f>
        <v>0</v>
      </c>
      <c r="AA35" s="104" cm="1">
        <f t="array" ref="AA35">SUMPRODUCT(('Projects Overview'!$B$2:$B$5021="Ram BOP")*('Projects Overview'!$G$2:$G$5021="Forecast")*('Projects Overview'!AJ$2:AJ$5021))</f>
        <v>0</v>
      </c>
      <c r="AB35" s="104" cm="1">
        <f t="array" ref="AB35">SUMPRODUCT(('Projects Overview'!$B$2:$B$5021="Ram BOP")*('Projects Overview'!$G$2:$G$5021="Forecast")*('Projects Overview'!AK$2:AK$5021))</f>
        <v>0</v>
      </c>
      <c r="AC35" s="104" cm="1">
        <f t="array" ref="AC35">SUMPRODUCT(('Projects Overview'!$B$2:$B$5021="Ram BOP")*('Projects Overview'!$G$2:$G$5021="Forecast")*('Projects Overview'!AL$2:AL$5021))</f>
        <v>0</v>
      </c>
      <c r="AD35" s="104" cm="1">
        <f t="array" ref="AD35">SUMPRODUCT(('Projects Overview'!$B$2:$B$5021="Ram BOP")*('Projects Overview'!$G$2:$G$5021="Forecast")*('Projects Overview'!AM$2:AM$5021))</f>
        <v>0</v>
      </c>
      <c r="AE35" s="104" cm="1">
        <f t="array" ref="AE35">SUMPRODUCT(('Projects Overview'!$B$2:$B$5021="Ram BOP")*('Projects Overview'!$G$2:$G$5021="Forecast")*('Projects Overview'!AN$2:AN$5021))</f>
        <v>0</v>
      </c>
      <c r="AF35" s="104" cm="1">
        <f t="array" ref="AF35">SUMPRODUCT(('Projects Overview'!$B$2:$B$5021="Ram BOP")*('Projects Overview'!$G$2:$G$5021="Forecast")*('Projects Overview'!AO$2:AO$5021))</f>
        <v>0</v>
      </c>
      <c r="AG35" s="104" cm="1">
        <f t="array" ref="AG35">SUMPRODUCT(('Projects Overview'!$B$2:$B$5021="Ram BOP")*('Projects Overview'!$G$2:$G$5021="Forecast")*('Projects Overview'!AP$2:AP$5021))</f>
        <v>0</v>
      </c>
      <c r="AH35" s="104" cm="1">
        <f t="array" ref="AH35">SUMPRODUCT(('Projects Overview'!$B$2:$B$5021="Ram BOP")*('Projects Overview'!$G$2:$G$5021="Forecast")*('Projects Overview'!AQ$2:AQ$5021))</f>
        <v>0</v>
      </c>
      <c r="AI35" s="104" cm="1">
        <f t="array" ref="AI35">SUMPRODUCT(('Projects Overview'!$B$2:$B$5021="Ram BOP")*('Projects Overview'!$G$2:$G$5021="Forecast")*('Projects Overview'!AR$2:AR$5021))</f>
        <v>0</v>
      </c>
      <c r="AJ35" s="104" cm="1">
        <f t="array" ref="AJ35">SUMPRODUCT(('Projects Overview'!$B$2:$B$5021="Ram BOP")*('Projects Overview'!$G$2:$G$5021="Forecast")*('Projects Overview'!AS$2:AS$5021))</f>
        <v>0</v>
      </c>
      <c r="AK35" s="104" cm="1">
        <f t="array" ref="AK35">SUMPRODUCT(('Projects Overview'!$B$2:$B$5021="Ram BOP")*('Projects Overview'!$G$2:$G$5021="Forecast")*('Projects Overview'!AT$2:AT$5021))</f>
        <v>0</v>
      </c>
      <c r="AL35" s="104" cm="1">
        <f t="array" ref="AL35">SUMPRODUCT(('Projects Overview'!$B$2:$B$5021="Ram BOP")*('Projects Overview'!$G$2:$G$5021="Forecast")*('Projects Overview'!AU$2:AU$5021))</f>
        <v>0</v>
      </c>
      <c r="AM35" s="104" cm="1">
        <f t="array" ref="AM35">SUMPRODUCT(('Projects Overview'!$B$2:$B$5021="Ram BOP")*('Projects Overview'!$G$2:$G$5021="Forecast")*('Projects Overview'!AV$2:AV$5021))</f>
        <v>0</v>
      </c>
      <c r="AN35" s="9"/>
      <c r="AO35" s="9"/>
      <c r="AP35" s="9"/>
    </row>
    <row r="36" spans="1:63" ht="16" customHeight="1" x14ac:dyDescent="0.35">
      <c r="A36" s="221" t="s">
        <v>84</v>
      </c>
      <c r="B36" s="224" t="s">
        <v>190</v>
      </c>
      <c r="C36" s="1" t="s">
        <v>4</v>
      </c>
      <c r="D36" s="104">
        <v>400</v>
      </c>
      <c r="E36" s="104">
        <v>400</v>
      </c>
      <c r="F36" s="104">
        <v>400</v>
      </c>
      <c r="G36" s="104">
        <v>0</v>
      </c>
      <c r="H36" s="104">
        <v>200</v>
      </c>
      <c r="I36" s="104" cm="1">
        <f t="array" ref="I36">SUMPRODUCT(('Projects Overview'!$B$2:$B$5021="Telescopic Joint - MR6H")*('Projects Overview'!$G$2:$G$5021="Firm")*('Projects Overview'!R$2:R$5021))</f>
        <v>0</v>
      </c>
      <c r="J36" s="104" cm="1">
        <f t="array" ref="J36">SUMPRODUCT(('Projects Overview'!$B$2:$B$5021="Telescopic Joint - MR6H")*('Projects Overview'!$G$2:$G$5021="Firm")*('Projects Overview'!S$2:S$5021))</f>
        <v>0</v>
      </c>
      <c r="K36" s="104" cm="1">
        <f t="array" ref="K36">SUMPRODUCT(('Projects Overview'!$B$2:$B$5021="Telescopic Joint - MR6H")*('Projects Overview'!$G$2:$G$5021="Firm")*('Projects Overview'!T$2:T$5021))</f>
        <v>200</v>
      </c>
      <c r="L36" s="104" cm="1">
        <f t="array" ref="L36">SUMPRODUCT(('Projects Overview'!$B$2:$B$5021="Telescopic Joint - MR6H")*('Projects Overview'!$G$2:$G$5021="Firm")*('Projects Overview'!U$2:U$5021))</f>
        <v>1000</v>
      </c>
      <c r="M36" s="104" cm="1">
        <f t="array" ref="M36">SUMPRODUCT(('Projects Overview'!$B$2:$B$5021="Telescopic Joint - MR6H")*('Projects Overview'!$G$2:$G$5021="Firm")*('Projects Overview'!V$2:V$5021))</f>
        <v>200</v>
      </c>
      <c r="N36" s="104" cm="1">
        <f t="array" ref="N36">SUMPRODUCT(('Projects Overview'!$B$2:$B$5021="Telescopic Joint - MR6H")*('Projects Overview'!$G$2:$G$5021="Firm")*('Projects Overview'!W$2:W$5021))</f>
        <v>250</v>
      </c>
      <c r="O36" s="104" cm="1">
        <f t="array" ref="O36">SUMPRODUCT(('Projects Overview'!$B$2:$B$5021="Telescopic Joint - MR6H")*('Projects Overview'!$G$2:$G$5021="Firm")*('Projects Overview'!X$2:X$5021))</f>
        <v>100</v>
      </c>
      <c r="P36" s="104" cm="1">
        <f t="array" ref="P36">SUMPRODUCT(('Projects Overview'!$B$2:$B$5021="Telescopic Joint - MR6H")*('Projects Overview'!$G$2:$G$5021="Firm")*('Projects Overview'!Y$2:Y$5021))</f>
        <v>100</v>
      </c>
      <c r="Q36" s="104" cm="1">
        <f t="array" ref="Q36">SUMPRODUCT(('Projects Overview'!$B$2:$B$5021="Telescopic Joint - MR6H")*('Projects Overview'!$G$2:$G$5021="Firm")*('Projects Overview'!Z$2:Z$5021))</f>
        <v>0</v>
      </c>
      <c r="R36" s="104" cm="1">
        <f t="array" ref="R36">SUMPRODUCT(('Projects Overview'!$B$2:$B$5021="Telescopic Joint - MR6H")*('Projects Overview'!$G$2:$G$5021="Firm")*('Projects Overview'!AA$2:AA$5021))</f>
        <v>350</v>
      </c>
      <c r="S36" s="104" cm="1">
        <f t="array" ref="S36">SUMPRODUCT(('Projects Overview'!$B$2:$B$5021="Telescopic Joint - MR6H")*('Projects Overview'!$G$2:$G$5021="Firm")*('Projects Overview'!AB$2:AB$5021))</f>
        <v>300</v>
      </c>
      <c r="T36" s="104" cm="1">
        <f t="array" ref="T36">SUMPRODUCT(('Projects Overview'!$B$2:$B$5021="Telescopic Joint - MR6H")*('Projects Overview'!$G$2:$G$5021="Firm")*('Projects Overview'!AC$2:AC$5021))</f>
        <v>0</v>
      </c>
      <c r="U36" s="104" cm="1">
        <f t="array" ref="U36">SUMPRODUCT(('Projects Overview'!$B$2:$B$5021="Telescopic Joint - MR6H")*('Projects Overview'!$G$2:$G$5021="Firm")*('Projects Overview'!AD$2:AD$5021))</f>
        <v>0</v>
      </c>
      <c r="V36" s="104" cm="1">
        <f t="array" ref="V36">SUMPRODUCT(('Projects Overview'!$B$2:$B$5021="Telescopic Joint - MR6H")*('Projects Overview'!$G$2:$G$5021="Firm")*('Projects Overview'!AE$2:AE$5021))</f>
        <v>0</v>
      </c>
      <c r="W36" s="104" cm="1">
        <f t="array" ref="W36">SUMPRODUCT(('Projects Overview'!$B$2:$B$5021="Telescopic Joint - MR6H")*('Projects Overview'!$G$2:$G$5021="Firm")*('Projects Overview'!AF$2:AF$5021))</f>
        <v>0</v>
      </c>
      <c r="X36" s="104" cm="1">
        <f t="array" ref="X36">SUMPRODUCT(('Projects Overview'!$B$2:$B$5021="Telescopic Joint - MR6H")*('Projects Overview'!$G$2:$G$5021="Firm")*('Projects Overview'!AG$2:AG$5021))</f>
        <v>0</v>
      </c>
      <c r="Y36" s="104" cm="1">
        <f t="array" ref="Y36">SUMPRODUCT(('Projects Overview'!$B$2:$B$5021="Telescopic Joint - MR6H")*('Projects Overview'!$G$2:$G$5021="Firm")*('Projects Overview'!AH$2:AH$5021))</f>
        <v>0</v>
      </c>
      <c r="Z36" s="104" cm="1">
        <f t="array" ref="Z36">SUMPRODUCT(('Projects Overview'!$B$2:$B$5021="Telescopic Joint - MR6H")*('Projects Overview'!$G$2:$G$5021="Firm")*('Projects Overview'!AI$2:AI$5021))</f>
        <v>0</v>
      </c>
      <c r="AA36" s="104" cm="1">
        <f t="array" ref="AA36">SUMPRODUCT(('Projects Overview'!$B$2:$B$5021="Telescopic Joint - MR6H")*('Projects Overview'!$G$2:$G$5021="Firm")*('Projects Overview'!AJ$2:AJ$5021))</f>
        <v>0</v>
      </c>
      <c r="AB36" s="104" cm="1">
        <f t="array" ref="AB36">SUMPRODUCT(('Projects Overview'!$B$2:$B$5021="Telescopic Joint - MR6H")*('Projects Overview'!$G$2:$G$5021="Firm")*('Projects Overview'!AK$2:AK$5021))</f>
        <v>0</v>
      </c>
      <c r="AC36" s="104" cm="1">
        <f t="array" ref="AC36">SUMPRODUCT(('Projects Overview'!$B$2:$B$5021="Telescopic Joint - MR6H")*('Projects Overview'!$G$2:$G$5021="Firm")*('Projects Overview'!AL$2:AL$5021))</f>
        <v>0</v>
      </c>
      <c r="AD36" s="104" cm="1">
        <f t="array" ref="AD36">SUMPRODUCT(('Projects Overview'!$B$2:$B$5021="Telescopic Joint - MR6H")*('Projects Overview'!$G$2:$G$5021="Firm")*('Projects Overview'!AM$2:AM$5021))</f>
        <v>0</v>
      </c>
      <c r="AE36" s="104" cm="1">
        <f t="array" ref="AE36">SUMPRODUCT(('Projects Overview'!$B$2:$B$5021="Telescopic Joint - MR6H")*('Projects Overview'!$G$2:$G$5021="Firm")*('Projects Overview'!AN$2:AN$5021))</f>
        <v>0</v>
      </c>
      <c r="AF36" s="104" cm="1">
        <f t="array" ref="AF36">SUMPRODUCT(('Projects Overview'!$B$2:$B$5021="Telescopic Joint - MR6H")*('Projects Overview'!$G$2:$G$5021="Firm")*('Projects Overview'!AO$2:AO$5021))</f>
        <v>0</v>
      </c>
      <c r="AG36" s="104" cm="1">
        <f t="array" ref="AG36">SUMPRODUCT(('Projects Overview'!$B$2:$B$5021="Telescopic Joint - MR6H")*('Projects Overview'!$G$2:$G$5021="Firm")*('Projects Overview'!AP$2:AP$5021))</f>
        <v>0</v>
      </c>
      <c r="AH36" s="104" cm="1">
        <f t="array" ref="AH36">SUMPRODUCT(('Projects Overview'!$B$2:$B$5021="Telescopic Joint - MR6H")*('Projects Overview'!$G$2:$G$5021="Firm")*('Projects Overview'!AQ$2:AQ$5021))</f>
        <v>0</v>
      </c>
      <c r="AI36" s="104" cm="1">
        <f t="array" ref="AI36">SUMPRODUCT(('Projects Overview'!$B$2:$B$5021="Telescopic Joint - MR6H")*('Projects Overview'!$G$2:$G$5021="Firm")*('Projects Overview'!AR$2:AR$5021))</f>
        <v>0</v>
      </c>
      <c r="AJ36" s="104" cm="1">
        <f t="array" ref="AJ36">SUMPRODUCT(('Projects Overview'!$B$2:$B$5021="Telescopic Joint - MR6H")*('Projects Overview'!$G$2:$G$5021="Firm")*('Projects Overview'!AS$2:AS$5021))</f>
        <v>0</v>
      </c>
      <c r="AK36" s="104" cm="1">
        <f t="array" ref="AK36">SUMPRODUCT(('Projects Overview'!$B$2:$B$5021="Telescopic Joint - MR6H")*('Projects Overview'!$G$2:$G$5021="Firm")*('Projects Overview'!AT$2:AT$5021))</f>
        <v>0</v>
      </c>
      <c r="AL36" s="104" cm="1">
        <f t="array" ref="AL36">SUMPRODUCT(('Projects Overview'!$B$2:$B$5021="Telescopic Joint - MR6H")*('Projects Overview'!$G$2:$G$5021="Firm")*('Projects Overview'!AU$2:AU$5021))</f>
        <v>0</v>
      </c>
      <c r="AM36" s="104" cm="1">
        <f t="array" ref="AM36">SUMPRODUCT(('Projects Overview'!$B$2:$B$5021="Telescopic Joint - MR6H")*('Projects Overview'!$G$2:$G$5021="Firm")*('Projects Overview'!AV$2:AV$5021))</f>
        <v>0</v>
      </c>
      <c r="AN36" s="9"/>
      <c r="AO36" s="9"/>
      <c r="AP36" s="9"/>
    </row>
    <row r="37" spans="1:63" ht="16" customHeight="1" x14ac:dyDescent="0.35">
      <c r="A37" s="222"/>
      <c r="B37" s="225"/>
      <c r="C37" s="2" t="s">
        <v>6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  <c r="I37" s="104" cm="1">
        <f t="array" ref="I37">SUMPRODUCT(('Projects Overview'!$B$2:$B$5021="Telescopic Joint - MR6H")*('Projects Overview'!$G$2:$G$5021="Risk Release")*('Projects Overview'!R$2:R$5021))</f>
        <v>0</v>
      </c>
      <c r="J37" s="104" cm="1">
        <f t="array" ref="J37">SUMPRODUCT(('Projects Overview'!$B$2:$B$5021="Telescopic Joint - MR6H")*('Projects Overview'!$G$2:$G$5021="Risk Release")*('Projects Overview'!S$2:S$5021))</f>
        <v>0</v>
      </c>
      <c r="K37" s="104" cm="1">
        <f t="array" ref="K37">SUMPRODUCT(('Projects Overview'!$B$2:$B$5021="Telescopic Joint - MR6H")*('Projects Overview'!$G$2:$G$5021="Risk Release")*('Projects Overview'!T$2:T$5021))</f>
        <v>0</v>
      </c>
      <c r="L37" s="104" cm="1">
        <f t="array" ref="L37">SUMPRODUCT(('Projects Overview'!$B$2:$B$5021="Telescopic Joint - MR6H")*('Projects Overview'!$G$2:$G$5021="Risk Release")*('Projects Overview'!U$2:U$5021))</f>
        <v>0</v>
      </c>
      <c r="M37" s="104" cm="1">
        <f t="array" ref="M37">SUMPRODUCT(('Projects Overview'!$B$2:$B$5021="Telescopic Joint - MR6H")*('Projects Overview'!$G$2:$G$5021="Risk Release")*('Projects Overview'!V$2:V$5021))</f>
        <v>0</v>
      </c>
      <c r="N37" s="104" cm="1">
        <f t="array" ref="N37">SUMPRODUCT(('Projects Overview'!$B$2:$B$5021="Telescopic Joint - MR6H")*('Projects Overview'!$G$2:$G$5021="Risk Release")*('Projects Overview'!W$2:W$5021))</f>
        <v>0</v>
      </c>
      <c r="O37" s="104" cm="1">
        <f t="array" ref="O37">SUMPRODUCT(('Projects Overview'!$B$2:$B$5021="Telescopic Joint - MR6H")*('Projects Overview'!$G$2:$G$5021="Risk Release")*('Projects Overview'!X$2:X$5021))</f>
        <v>0</v>
      </c>
      <c r="P37" s="104" cm="1">
        <f t="array" ref="P37">SUMPRODUCT(('Projects Overview'!$B$2:$B$5021="Telescopic Joint - MR6H")*('Projects Overview'!$G$2:$G$5021="Risk Release")*('Projects Overview'!Y$2:Y$5021))</f>
        <v>0</v>
      </c>
      <c r="Q37" s="104" cm="1">
        <f t="array" ref="Q37">SUMPRODUCT(('Projects Overview'!$B$2:$B$5021="Telescopic Joint - MR6H")*('Projects Overview'!$G$2:$G$5021="Risk Release")*('Projects Overview'!Z$2:Z$5021))</f>
        <v>0</v>
      </c>
      <c r="R37" s="104" cm="1">
        <f t="array" ref="R37">SUMPRODUCT(('Projects Overview'!$B$2:$B$5021="Telescopic Joint - MR6H")*('Projects Overview'!$G$2:$G$5021="Risk Release")*('Projects Overview'!AA$2:AA$5021))</f>
        <v>0</v>
      </c>
      <c r="S37" s="104" cm="1">
        <f t="array" ref="S37">SUMPRODUCT(('Projects Overview'!$B$2:$B$5021="Telescopic Joint - MR6H")*('Projects Overview'!$G$2:$G$5021="Risk Release")*('Projects Overview'!AB$2:AB$5021))</f>
        <v>0</v>
      </c>
      <c r="T37" s="104" cm="1">
        <f t="array" ref="T37">SUMPRODUCT(('Projects Overview'!$B$2:$B$5021="Telescopic Joint - MR6H")*('Projects Overview'!$G$2:$G$5021="Risk Release")*('Projects Overview'!AC$2:AC$5021))</f>
        <v>0</v>
      </c>
      <c r="U37" s="104" cm="1">
        <f t="array" ref="U37">SUMPRODUCT(('Projects Overview'!$B$2:$B$5021="Telescopic Joint - MR6H")*('Projects Overview'!$G$2:$G$5021="Risk Release")*('Projects Overview'!AD$2:AD$5021))</f>
        <v>0</v>
      </c>
      <c r="V37" s="104" cm="1">
        <f t="array" ref="V37">SUMPRODUCT(('Projects Overview'!$B$2:$B$5021="Telescopic Joint - MR6H")*('Projects Overview'!$G$2:$G$5021="Risk Release")*('Projects Overview'!AE$2:AE$5021))</f>
        <v>0</v>
      </c>
      <c r="W37" s="104" cm="1">
        <f t="array" ref="W37">SUMPRODUCT(('Projects Overview'!$B$2:$B$5021="Telescopic Joint - MR6H")*('Projects Overview'!$G$2:$G$5021="Risk Release")*('Projects Overview'!AF$2:AF$5021))</f>
        <v>0</v>
      </c>
      <c r="X37" s="104" cm="1">
        <f t="array" ref="X37">SUMPRODUCT(('Projects Overview'!$B$2:$B$5021="Telescopic Joint - MR6H")*('Projects Overview'!$G$2:$G$5021="Risk Release")*('Projects Overview'!AG$2:AG$5021))</f>
        <v>0</v>
      </c>
      <c r="Y37" s="104" cm="1">
        <f t="array" ref="Y37">SUMPRODUCT(('Projects Overview'!$B$2:$B$5021="Telescopic Joint - MR6H")*('Projects Overview'!$G$2:$G$5021="Risk Release")*('Projects Overview'!AH$2:AH$5021))</f>
        <v>0</v>
      </c>
      <c r="Z37" s="104" cm="1">
        <f t="array" ref="Z37">SUMPRODUCT(('Projects Overview'!$B$2:$B$5021="Telescopic Joint - MR6H")*('Projects Overview'!$G$2:$G$5021="Risk Release")*('Projects Overview'!AI$2:AI$5021))</f>
        <v>0</v>
      </c>
      <c r="AA37" s="104" cm="1">
        <f t="array" ref="AA37">SUMPRODUCT(('Projects Overview'!$B$2:$B$5021="Telescopic Joint - MR6H")*('Projects Overview'!$G$2:$G$5021="Risk Release")*('Projects Overview'!AJ$2:AJ$5021))</f>
        <v>0</v>
      </c>
      <c r="AB37" s="104" cm="1">
        <f t="array" ref="AB37">SUMPRODUCT(('Projects Overview'!$B$2:$B$5021="Telescopic Joint - MR6H")*('Projects Overview'!$G$2:$G$5021="Risk Release")*('Projects Overview'!AK$2:AK$5021))</f>
        <v>0</v>
      </c>
      <c r="AC37" s="104" cm="1">
        <f t="array" ref="AC37">SUMPRODUCT(('Projects Overview'!$B$2:$B$5021="Telescopic Joint - MR6H")*('Projects Overview'!$G$2:$G$5021="Risk Release")*('Projects Overview'!AL$2:AL$5021))</f>
        <v>0</v>
      </c>
      <c r="AD37" s="104" cm="1">
        <f t="array" ref="AD37">SUMPRODUCT(('Projects Overview'!$B$2:$B$5021="Telescopic Joint - MR6H")*('Projects Overview'!$G$2:$G$5021="Risk Release")*('Projects Overview'!AM$2:AM$5021))</f>
        <v>0</v>
      </c>
      <c r="AE37" s="104" cm="1">
        <f t="array" ref="AE37">SUMPRODUCT(('Projects Overview'!$B$2:$B$5021="Telescopic Joint - MR6H")*('Projects Overview'!$G$2:$G$5021="Risk Release")*('Projects Overview'!AN$2:AN$5021))</f>
        <v>0</v>
      </c>
      <c r="AF37" s="104" cm="1">
        <f t="array" ref="AF37">SUMPRODUCT(('Projects Overview'!$B$2:$B$5021="Telescopic Joint - MR6H")*('Projects Overview'!$G$2:$G$5021="Risk Release")*('Projects Overview'!AO$2:AO$5021))</f>
        <v>0</v>
      </c>
      <c r="AG37" s="104" cm="1">
        <f t="array" ref="AG37">SUMPRODUCT(('Projects Overview'!$B$2:$B$5021="Telescopic Joint - MR6H")*('Projects Overview'!$G$2:$G$5021="Risk Release")*('Projects Overview'!AP$2:AP$5021))</f>
        <v>0</v>
      </c>
      <c r="AH37" s="104" cm="1">
        <f t="array" ref="AH37">SUMPRODUCT(('Projects Overview'!$B$2:$B$5021="Telescopic Joint - MR6H")*('Projects Overview'!$G$2:$G$5021="Risk Release")*('Projects Overview'!AQ$2:AQ$5021))</f>
        <v>0</v>
      </c>
      <c r="AI37" s="104" cm="1">
        <f t="array" ref="AI37">SUMPRODUCT(('Projects Overview'!$B$2:$B$5021="Telescopic Joint - MR6H")*('Projects Overview'!$G$2:$G$5021="Risk Release")*('Projects Overview'!AR$2:AR$5021))</f>
        <v>0</v>
      </c>
      <c r="AJ37" s="104" cm="1">
        <f t="array" ref="AJ37">SUMPRODUCT(('Projects Overview'!$B$2:$B$5021="Telescopic Joint - MR6H")*('Projects Overview'!$G$2:$G$5021="Risk Release")*('Projects Overview'!AS$2:AS$5021))</f>
        <v>0</v>
      </c>
      <c r="AK37" s="104" cm="1">
        <f t="array" ref="AK37">SUMPRODUCT(('Projects Overview'!$B$2:$B$5021="Telescopic Joint - MR6H")*('Projects Overview'!$G$2:$G$5021="Risk Release")*('Projects Overview'!AT$2:AT$5021))</f>
        <v>0</v>
      </c>
      <c r="AL37" s="104" cm="1">
        <f t="array" ref="AL37">SUMPRODUCT(('Projects Overview'!$B$2:$B$5021="Telescopic Joint - MR6H")*('Projects Overview'!$G$2:$G$5021="Risk Release")*('Projects Overview'!AU$2:AU$5021))</f>
        <v>0</v>
      </c>
      <c r="AM37" s="104" cm="1">
        <f t="array" ref="AM37">SUMPRODUCT(('Projects Overview'!$B$2:$B$5021="Telescopic Joint - MR6H")*('Projects Overview'!$G$2:$G$5021="Risk Release")*('Projects Overview'!AV$2:AV$5021))</f>
        <v>0</v>
      </c>
      <c r="AN37" s="9"/>
      <c r="AO37" s="9"/>
      <c r="AP37" s="9"/>
    </row>
    <row r="38" spans="1:63" ht="16" customHeight="1" x14ac:dyDescent="0.35">
      <c r="A38" s="222"/>
      <c r="B38" s="226"/>
      <c r="C38" s="3" t="s">
        <v>8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04" cm="1">
        <f t="array" ref="I38">SUMPRODUCT(('Projects Overview'!$B$2:$B$5021="Telescopic Joint - MR6H")*('Projects Overview'!$G$2:$G$5021="Forecast")*('Projects Overview'!R$2:R$5021))</f>
        <v>0</v>
      </c>
      <c r="J38" s="104" cm="1">
        <f t="array" ref="J38">SUMPRODUCT(('Projects Overview'!$B$2:$B$5021="Telescopic Joint - MR6H")*('Projects Overview'!$G$2:$G$5021="Forecast")*('Projects Overview'!S$2:S$5021))</f>
        <v>0</v>
      </c>
      <c r="K38" s="104" cm="1">
        <f t="array" ref="K38">SUMPRODUCT(('Projects Overview'!$B$2:$B$5021="Telescopic Joint - MR6H")*('Projects Overview'!$G$2:$G$5021="Forecast")*('Projects Overview'!T$2:T$5021))</f>
        <v>0</v>
      </c>
      <c r="L38" s="104" cm="1">
        <f t="array" ref="L38">SUMPRODUCT(('Projects Overview'!$B$2:$B$5021="Telescopic Joint - MR6H")*('Projects Overview'!$G$2:$G$5021="Forecast")*('Projects Overview'!U$2:U$5021))</f>
        <v>0</v>
      </c>
      <c r="M38" s="104" cm="1">
        <f t="array" ref="M38">SUMPRODUCT(('Projects Overview'!$B$2:$B$5021="Telescopic Joint - MR6H")*('Projects Overview'!$G$2:$G$5021="Forecast")*('Projects Overview'!V$2:V$5021))</f>
        <v>0</v>
      </c>
      <c r="N38" s="104" cm="1">
        <f t="array" ref="N38">SUMPRODUCT(('Projects Overview'!$B$2:$B$5021="Telescopic Joint - MR6H")*('Projects Overview'!$G$2:$G$5021="Forecast")*('Projects Overview'!W$2:W$5021))</f>
        <v>0</v>
      </c>
      <c r="O38" s="104" cm="1">
        <f t="array" ref="O38">SUMPRODUCT(('Projects Overview'!$B$2:$B$5021="Telescopic Joint - MR6H")*('Projects Overview'!$G$2:$G$5021="Forecast")*('Projects Overview'!X$2:X$5021))</f>
        <v>0</v>
      </c>
      <c r="P38" s="104" cm="1">
        <f t="array" ref="P38">SUMPRODUCT(('Projects Overview'!$B$2:$B$5021="Telescopic Joint - MR6H")*('Projects Overview'!$G$2:$G$5021="Forecast")*('Projects Overview'!Y$2:Y$5021))</f>
        <v>0</v>
      </c>
      <c r="Q38" s="104" cm="1">
        <f t="array" ref="Q38">SUMPRODUCT(('Projects Overview'!$B$2:$B$5021="Telescopic Joint - MR6H")*('Projects Overview'!$G$2:$G$5021="Forecast")*('Projects Overview'!Z$2:Z$5021))</f>
        <v>0</v>
      </c>
      <c r="R38" s="104" cm="1">
        <f t="array" ref="R38">SUMPRODUCT(('Projects Overview'!$B$2:$B$5021="Telescopic Joint - MR6H")*('Projects Overview'!$G$2:$G$5021="Forecast")*('Projects Overview'!AA$2:AA$5021))</f>
        <v>680</v>
      </c>
      <c r="S38" s="104" cm="1">
        <f t="array" ref="S38">SUMPRODUCT(('Projects Overview'!$B$2:$B$5021="Telescopic Joint - MR6H")*('Projects Overview'!$G$2:$G$5021="Forecast")*('Projects Overview'!AB$2:AB$5021))</f>
        <v>400</v>
      </c>
      <c r="T38" s="104" cm="1">
        <f t="array" ref="T38">SUMPRODUCT(('Projects Overview'!$B$2:$B$5021="Telescopic Joint - MR6H")*('Projects Overview'!$G$2:$G$5021="Forecast")*('Projects Overview'!AC$2:AC$5021))</f>
        <v>0</v>
      </c>
      <c r="U38" s="104" cm="1">
        <f t="array" ref="U38">SUMPRODUCT(('Projects Overview'!$B$2:$B$5021="Telescopic Joint - MR6H")*('Projects Overview'!$G$2:$G$5021="Forecast")*('Projects Overview'!AD$2:AD$5021))</f>
        <v>0</v>
      </c>
      <c r="V38" s="104" cm="1">
        <f t="array" ref="V38">SUMPRODUCT(('Projects Overview'!$B$2:$B$5021="Telescopic Joint - MR6H")*('Projects Overview'!$G$2:$G$5021="Forecast")*('Projects Overview'!AE$2:AE$5021))</f>
        <v>0</v>
      </c>
      <c r="W38" s="104" cm="1">
        <f t="array" ref="W38">SUMPRODUCT(('Projects Overview'!$B$2:$B$5021="Telescopic Joint - MR6H")*('Projects Overview'!$G$2:$G$5021="Forecast")*('Projects Overview'!AF$2:AF$5021))</f>
        <v>266.66666666666669</v>
      </c>
      <c r="X38" s="104" cm="1">
        <f t="array" ref="X38">SUMPRODUCT(('Projects Overview'!$B$2:$B$5021="Telescopic Joint - MR6H")*('Projects Overview'!$G$2:$G$5021="Forecast")*('Projects Overview'!AG$2:AG$5021))</f>
        <v>266.66666666666669</v>
      </c>
      <c r="Y38" s="104" cm="1">
        <f t="array" ref="Y38">SUMPRODUCT(('Projects Overview'!$B$2:$B$5021="Telescopic Joint - MR6H")*('Projects Overview'!$G$2:$G$5021="Forecast")*('Projects Overview'!AH$2:AH$5021))</f>
        <v>266.66666666666669</v>
      </c>
      <c r="Z38" s="104" cm="1">
        <f t="array" ref="Z38">SUMPRODUCT(('Projects Overview'!$B$2:$B$5021="Telescopic Joint - MR6H")*('Projects Overview'!$G$2:$G$5021="Forecast")*('Projects Overview'!AI$2:AI$5021))</f>
        <v>225</v>
      </c>
      <c r="AA38" s="104" cm="1">
        <f t="array" ref="AA38">SUMPRODUCT(('Projects Overview'!$B$2:$B$5021="Telescopic Joint - MR6H")*('Projects Overview'!$G$2:$G$5021="Forecast")*('Projects Overview'!AJ$2:AJ$5021))</f>
        <v>225</v>
      </c>
      <c r="AB38" s="104" cm="1">
        <f t="array" ref="AB38">SUMPRODUCT(('Projects Overview'!$B$2:$B$5021="Telescopic Joint - MR6H")*('Projects Overview'!$G$2:$G$5021="Forecast")*('Projects Overview'!AK$2:AK$5021))</f>
        <v>0</v>
      </c>
      <c r="AC38" s="104" cm="1">
        <f t="array" ref="AC38">SUMPRODUCT(('Projects Overview'!$B$2:$B$5021="Telescopic Joint - MR6H")*('Projects Overview'!$G$2:$G$5021="Forecast")*('Projects Overview'!AL$2:AL$5021))</f>
        <v>0</v>
      </c>
      <c r="AD38" s="104" cm="1">
        <f t="array" ref="AD38">SUMPRODUCT(('Projects Overview'!$B$2:$B$5021="Telescopic Joint - MR6H")*('Projects Overview'!$G$2:$G$5021="Forecast")*('Projects Overview'!AM$2:AM$5021))</f>
        <v>0</v>
      </c>
      <c r="AE38" s="104" cm="1">
        <f t="array" ref="AE38">SUMPRODUCT(('Projects Overview'!$B$2:$B$5021="Telescopic Joint - MR6H")*('Projects Overview'!$G$2:$G$5021="Forecast")*('Projects Overview'!AN$2:AN$5021))</f>
        <v>0</v>
      </c>
      <c r="AF38" s="104" cm="1">
        <f t="array" ref="AF38">SUMPRODUCT(('Projects Overview'!$B$2:$B$5021="Telescopic Joint - MR6H")*('Projects Overview'!$G$2:$G$5021="Forecast")*('Projects Overview'!AO$2:AO$5021))</f>
        <v>0</v>
      </c>
      <c r="AG38" s="104" cm="1">
        <f t="array" ref="AG38">SUMPRODUCT(('Projects Overview'!$B$2:$B$5021="Telescopic Joint - MR6H")*('Projects Overview'!$G$2:$G$5021="Forecast")*('Projects Overview'!AP$2:AP$5021))</f>
        <v>0</v>
      </c>
      <c r="AH38" s="104" cm="1">
        <f t="array" ref="AH38">SUMPRODUCT(('Projects Overview'!$B$2:$B$5021="Telescopic Joint - MR6H")*('Projects Overview'!$G$2:$G$5021="Forecast")*('Projects Overview'!AQ$2:AQ$5021))</f>
        <v>0</v>
      </c>
      <c r="AI38" s="104" cm="1">
        <f t="array" ref="AI38">SUMPRODUCT(('Projects Overview'!$B$2:$B$5021="Telescopic Joint - MR6H")*('Projects Overview'!$G$2:$G$5021="Forecast")*('Projects Overview'!AR$2:AR$5021))</f>
        <v>0</v>
      </c>
      <c r="AJ38" s="104" cm="1">
        <f t="array" ref="AJ38">SUMPRODUCT(('Projects Overview'!$B$2:$B$5021="Telescopic Joint - MR6H")*('Projects Overview'!$G$2:$G$5021="Forecast")*('Projects Overview'!AS$2:AS$5021))</f>
        <v>0</v>
      </c>
      <c r="AK38" s="104" cm="1">
        <f t="array" ref="AK38">SUMPRODUCT(('Projects Overview'!$B$2:$B$5021="Telescopic Joint - MR6H")*('Projects Overview'!$G$2:$G$5021="Forecast")*('Projects Overview'!AT$2:AT$5021))</f>
        <v>0</v>
      </c>
      <c r="AL38" s="104" cm="1">
        <f t="array" ref="AL38">SUMPRODUCT(('Projects Overview'!$B$2:$B$5021="Telescopic Joint - MR6H")*('Projects Overview'!$G$2:$G$5021="Forecast")*('Projects Overview'!AU$2:AU$5021))</f>
        <v>0</v>
      </c>
      <c r="AM38" s="104" cm="1">
        <f t="array" ref="AM38">SUMPRODUCT(('Projects Overview'!$B$2:$B$5021="Telescopic Joint - MR6H")*('Projects Overview'!$G$2:$G$5021="Forecast")*('Projects Overview'!AV$2:AV$5021))</f>
        <v>0</v>
      </c>
      <c r="AN38" s="9"/>
      <c r="AO38" s="9"/>
      <c r="AP38" s="9"/>
    </row>
    <row r="39" spans="1:63" x14ac:dyDescent="0.35">
      <c r="A39" s="222"/>
      <c r="B39" s="224" t="s">
        <v>359</v>
      </c>
      <c r="C39" s="1" t="s">
        <v>4</v>
      </c>
      <c r="D39" s="104">
        <v>1000</v>
      </c>
      <c r="E39" s="104">
        <v>1450</v>
      </c>
      <c r="F39" s="104">
        <v>400</v>
      </c>
      <c r="G39" s="104">
        <v>400</v>
      </c>
      <c r="H39" s="104">
        <v>880</v>
      </c>
      <c r="I39" s="104" cm="1">
        <f t="array" ref="I39">SUMPRODUCT(('Projects Overview'!$B$2:$B$5021="Telescopic Joint - QTR-3500")*('Projects Overview'!$G$2:$G$5021="Firm")*('Projects Overview'!R$2:R$5021))</f>
        <v>780</v>
      </c>
      <c r="J39" s="104" cm="1">
        <f t="array" ref="J39">SUMPRODUCT(('Projects Overview'!$B$2:$B$5021="Telescopic Joint - QTR-3500")*('Projects Overview'!$G$2:$G$5021="Firm")*('Projects Overview'!S$2:S$5021))</f>
        <v>700</v>
      </c>
      <c r="K39" s="104" cm="1">
        <f t="array" ref="K39">SUMPRODUCT(('Projects Overview'!$B$2:$B$5021="Telescopic Joint - QTR-3500")*('Projects Overview'!$G$2:$G$5021="Firm")*('Projects Overview'!T$2:T$5021))</f>
        <v>910</v>
      </c>
      <c r="L39" s="104" cm="1">
        <f t="array" ref="L39">SUMPRODUCT(('Projects Overview'!$B$2:$B$5021="Telescopic Joint - QTR-3500")*('Projects Overview'!$G$2:$G$5021="Firm")*('Projects Overview'!U$2:U$5021))</f>
        <v>560</v>
      </c>
      <c r="M39" s="104" cm="1">
        <f t="array" ref="M39">SUMPRODUCT(('Projects Overview'!$B$2:$B$5021="Telescopic Joint - QTR-3500")*('Projects Overview'!$G$2:$G$5021="Firm")*('Projects Overview'!V$2:V$5021))</f>
        <v>50</v>
      </c>
      <c r="N39" s="104" cm="1">
        <f t="array" ref="N39">SUMPRODUCT(('Projects Overview'!$B$2:$B$5021="Telescopic Joint - QTR-3500")*('Projects Overview'!$G$2:$G$5021="Firm")*('Projects Overview'!W$2:W$5021))</f>
        <v>0</v>
      </c>
      <c r="O39" s="104" cm="1">
        <f t="array" ref="O39">SUMPRODUCT(('Projects Overview'!$B$2:$B$5021="Telescopic Joint - QTR-3500")*('Projects Overview'!$G$2:$G$5021="Firm")*('Projects Overview'!X$2:X$5021))</f>
        <v>0</v>
      </c>
      <c r="P39" s="104" cm="1">
        <f t="array" ref="P39">SUMPRODUCT(('Projects Overview'!$B$2:$B$5021="Telescopic Joint - QTR-3500")*('Projects Overview'!$G$2:$G$5021="Firm")*('Projects Overview'!Y$2:Y$5021))</f>
        <v>425</v>
      </c>
      <c r="Q39" s="104" cm="1">
        <f t="array" ref="Q39">SUMPRODUCT(('Projects Overview'!$B$2:$B$5021="Telescopic Joint - QTR-3500")*('Projects Overview'!$G$2:$G$5021="Firm")*('Projects Overview'!Z$2:Z$5021))</f>
        <v>505</v>
      </c>
      <c r="R39" s="104" cm="1">
        <f t="array" ref="R39">SUMPRODUCT(('Projects Overview'!$B$2:$B$5021="Telescopic Joint - QTR-3500")*('Projects Overview'!$G$2:$G$5021="Firm")*('Projects Overview'!AA$2:AA$5021))</f>
        <v>280</v>
      </c>
      <c r="S39" s="104" cm="1">
        <f t="array" ref="S39">SUMPRODUCT(('Projects Overview'!$B$2:$B$5021="Telescopic Joint - QTR-3500")*('Projects Overview'!$G$2:$G$5021="Firm")*('Projects Overview'!AB$2:AB$5021))</f>
        <v>0</v>
      </c>
      <c r="T39" s="104" cm="1">
        <f t="array" ref="T39">SUMPRODUCT(('Projects Overview'!$B$2:$B$5021="Telescopic Joint - QTR-3500")*('Projects Overview'!$G$2:$G$5021="Firm")*('Projects Overview'!AC$2:AC$5021))</f>
        <v>0</v>
      </c>
      <c r="U39" s="104" cm="1">
        <f t="array" ref="U39">SUMPRODUCT(('Projects Overview'!$B$2:$B$5021="Telescopic Joint - QTR-3500")*('Projects Overview'!$G$2:$G$5021="Firm")*('Projects Overview'!AD$2:AD$5021))</f>
        <v>0</v>
      </c>
      <c r="V39" s="104" cm="1">
        <f t="array" ref="V39">SUMPRODUCT(('Projects Overview'!$B$2:$B$5021="Telescopic Joint - QTR-3500")*('Projects Overview'!$G$2:$G$5021="Firm")*('Projects Overview'!AE$2:AE$5021))</f>
        <v>0</v>
      </c>
      <c r="W39" s="104" cm="1">
        <f t="array" ref="W39">SUMPRODUCT(('Projects Overview'!$B$2:$B$5021="Telescopic Joint - QTR-3500")*('Projects Overview'!$G$2:$G$5021="Firm")*('Projects Overview'!AF$2:AF$5021))</f>
        <v>0</v>
      </c>
      <c r="X39" s="104" cm="1">
        <f t="array" ref="X39">SUMPRODUCT(('Projects Overview'!$B$2:$B$5021="Telescopic Joint - QTR-3500")*('Projects Overview'!$G$2:$G$5021="Firm")*('Projects Overview'!AG$2:AG$5021))</f>
        <v>0</v>
      </c>
      <c r="Y39" s="104" cm="1">
        <f t="array" ref="Y39">SUMPRODUCT(('Projects Overview'!$B$2:$B$5021="Telescopic Joint - QTR-3500")*('Projects Overview'!$G$2:$G$5021="Firm")*('Projects Overview'!AH$2:AH$5021))</f>
        <v>0</v>
      </c>
      <c r="Z39" s="104" cm="1">
        <f t="array" ref="Z39">SUMPRODUCT(('Projects Overview'!$B$2:$B$5021="Telescopic Joint - QTR-3500")*('Projects Overview'!$G$2:$G$5021="Firm")*('Projects Overview'!AI$2:AI$5021))</f>
        <v>0</v>
      </c>
      <c r="AA39" s="104" cm="1">
        <f t="array" ref="AA39">SUMPRODUCT(('Projects Overview'!$B$2:$B$5021="Telescopic Joint - QTR-3500")*('Projects Overview'!$G$2:$G$5021="Firm")*('Projects Overview'!AJ$2:AJ$5021))</f>
        <v>0</v>
      </c>
      <c r="AB39" s="104" cm="1">
        <f t="array" ref="AB39">SUMPRODUCT(('Projects Overview'!$B$2:$B$5021="Telescopic Joint - QTR-3500")*('Projects Overview'!$G$2:$G$5021="Firm")*('Projects Overview'!AK$2:AK$5021))</f>
        <v>0</v>
      </c>
      <c r="AC39" s="104" cm="1">
        <f t="array" ref="AC39">SUMPRODUCT(('Projects Overview'!$B$2:$B$5021="Telescopic Joint - QTR-3500")*('Projects Overview'!$G$2:$G$5021="Firm")*('Projects Overview'!AL$2:AL$5021))</f>
        <v>0</v>
      </c>
      <c r="AD39" s="104" cm="1">
        <f t="array" ref="AD39">SUMPRODUCT(('Projects Overview'!$B$2:$B$5021="Telescopic Joint - QTR-3500")*('Projects Overview'!$G$2:$G$5021="Firm")*('Projects Overview'!AM$2:AM$5021))</f>
        <v>0</v>
      </c>
      <c r="AE39" s="104" cm="1">
        <f t="array" ref="AE39">SUMPRODUCT(('Projects Overview'!$B$2:$B$5021="Telescopic Joint - QTR-3500")*('Projects Overview'!$G$2:$G$5021="Firm")*('Projects Overview'!AN$2:AN$5021))</f>
        <v>0</v>
      </c>
      <c r="AF39" s="104" cm="1">
        <f t="array" ref="AF39">SUMPRODUCT(('Projects Overview'!$B$2:$B$5021="Telescopic Joint - QTR-3500")*('Projects Overview'!$G$2:$G$5021="Firm")*('Projects Overview'!AO$2:AO$5021))</f>
        <v>0</v>
      </c>
      <c r="AG39" s="104" cm="1">
        <f t="array" ref="AG39">SUMPRODUCT(('Projects Overview'!$B$2:$B$5021="Telescopic Joint - QTR-3500")*('Projects Overview'!$G$2:$G$5021="Firm")*('Projects Overview'!AP$2:AP$5021))</f>
        <v>0</v>
      </c>
      <c r="AH39" s="104" cm="1">
        <f t="array" ref="AH39">SUMPRODUCT(('Projects Overview'!$B$2:$B$5021="Telescopic Joint - QTR-3500")*('Projects Overview'!$G$2:$G$5021="Firm")*('Projects Overview'!AQ$2:AQ$5021))</f>
        <v>0</v>
      </c>
      <c r="AI39" s="104" cm="1">
        <f t="array" ref="AI39">SUMPRODUCT(('Projects Overview'!$B$2:$B$5021="Telescopic Joint - QTR-3500")*('Projects Overview'!$G$2:$G$5021="Firm")*('Projects Overview'!AR$2:AR$5021))</f>
        <v>0</v>
      </c>
      <c r="AJ39" s="104" cm="1">
        <f t="array" ref="AJ39">SUMPRODUCT(('Projects Overview'!$B$2:$B$5021="Telescopic Joint - QTR-3500")*('Projects Overview'!$G$2:$G$5021="Firm")*('Projects Overview'!AS$2:AS$5021))</f>
        <v>0</v>
      </c>
      <c r="AK39" s="104" cm="1">
        <f t="array" ref="AK39">SUMPRODUCT(('Projects Overview'!$B$2:$B$5021="Telescopic Joint - QTR-3500")*('Projects Overview'!$G$2:$G$5021="Firm")*('Projects Overview'!AT$2:AT$5021))</f>
        <v>0</v>
      </c>
      <c r="AL39" s="104" cm="1">
        <f t="array" ref="AL39">SUMPRODUCT(('Projects Overview'!$B$2:$B$5021="Telescopic Joint - QTR-3500")*('Projects Overview'!$G$2:$G$5021="Firm")*('Projects Overview'!AU$2:AU$5021))</f>
        <v>0</v>
      </c>
      <c r="AM39" s="104" cm="1">
        <f t="array" ref="AM39">SUMPRODUCT(('Projects Overview'!$B$2:$B$5021="Telescopic Joint - QTR-3500")*('Projects Overview'!$G$2:$G$5021="Firm")*('Projects Overview'!AV$2:AV$5021))</f>
        <v>0</v>
      </c>
      <c r="AN39" s="9"/>
      <c r="AO39" s="9"/>
      <c r="AP39" s="9"/>
      <c r="AV39" s="28"/>
    </row>
    <row r="40" spans="1:63" ht="16" customHeight="1" thickBot="1" x14ac:dyDescent="0.4">
      <c r="A40" s="222"/>
      <c r="B40" s="225"/>
      <c r="C40" s="2" t="s">
        <v>6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  <c r="I40" s="104" cm="1">
        <f t="array" ref="I40">SUMPRODUCT(('Projects Overview'!$B$2:$B$5021="Telescopic Joint - QTR-3500")*('Projects Overview'!$G$2:$G$5021="Risk Release")*('Projects Overview'!R$2:R$5021))</f>
        <v>0</v>
      </c>
      <c r="J40" s="104" cm="1">
        <f t="array" ref="J40">SUMPRODUCT(('Projects Overview'!$B$2:$B$5021="Telescopic Joint - QTR-3500")*('Projects Overview'!$G$2:$G$5021="Risk Release")*('Projects Overview'!S$2:S$5021))</f>
        <v>0</v>
      </c>
      <c r="K40" s="104" cm="1">
        <f t="array" ref="K40">SUMPRODUCT(('Projects Overview'!$B$2:$B$5021="Telescopic Joint - QTR-3500")*('Projects Overview'!$G$2:$G$5021="Risk Release")*('Projects Overview'!T$2:T$5021))</f>
        <v>0</v>
      </c>
      <c r="L40" s="104" cm="1">
        <f t="array" ref="L40">SUMPRODUCT(('Projects Overview'!$B$2:$B$5021="Telescopic Joint - QTR-3500")*('Projects Overview'!$G$2:$G$5021="Risk Release")*('Projects Overview'!U$2:U$5021))</f>
        <v>0</v>
      </c>
      <c r="M40" s="104" cm="1">
        <f t="array" ref="M40">SUMPRODUCT(('Projects Overview'!$B$2:$B$5021="Telescopic Joint - QTR-3500")*('Projects Overview'!$G$2:$G$5021="Risk Release")*('Projects Overview'!V$2:V$5021))</f>
        <v>0</v>
      </c>
      <c r="N40" s="104" cm="1">
        <f t="array" ref="N40">SUMPRODUCT(('Projects Overview'!$B$2:$B$5021="Telescopic Joint - QTR-3500")*('Projects Overview'!$G$2:$G$5021="Risk Release")*('Projects Overview'!W$2:W$5021))</f>
        <v>0</v>
      </c>
      <c r="O40" s="104" cm="1">
        <f t="array" ref="O40">SUMPRODUCT(('Projects Overview'!$B$2:$B$5021="Telescopic Joint - QTR-3500")*('Projects Overview'!$G$2:$G$5021="Risk Release")*('Projects Overview'!X$2:X$5021))</f>
        <v>0</v>
      </c>
      <c r="P40" s="104" cm="1">
        <f t="array" ref="P40">SUMPRODUCT(('Projects Overview'!$B$2:$B$5021="Telescopic Joint - QTR-3500")*('Projects Overview'!$G$2:$G$5021="Risk Release")*('Projects Overview'!Y$2:Y$5021))</f>
        <v>0</v>
      </c>
      <c r="Q40" s="104" cm="1">
        <f t="array" ref="Q40">SUMPRODUCT(('Projects Overview'!$B$2:$B$5021="Telescopic Joint - QTR-3500")*('Projects Overview'!$G$2:$G$5021="Risk Release")*('Projects Overview'!Z$2:Z$5021))</f>
        <v>0</v>
      </c>
      <c r="R40" s="104" cm="1">
        <f t="array" ref="R40">SUMPRODUCT(('Projects Overview'!$B$2:$B$5021="Telescopic Joint - QTR-3500")*('Projects Overview'!$G$2:$G$5021="Risk Release")*('Projects Overview'!AA$2:AA$5021))</f>
        <v>0</v>
      </c>
      <c r="S40" s="104" cm="1">
        <f t="array" ref="S40">SUMPRODUCT(('Projects Overview'!$B$2:$B$5021="Telescopic Joint - QTR-3500")*('Projects Overview'!$G$2:$G$5021="Risk Release")*('Projects Overview'!AB$2:AB$5021))</f>
        <v>0</v>
      </c>
      <c r="T40" s="104" cm="1">
        <f t="array" ref="T40">SUMPRODUCT(('Projects Overview'!$B$2:$B$5021="Telescopic Joint - QTR-3500")*('Projects Overview'!$G$2:$G$5021="Risk Release")*('Projects Overview'!AC$2:AC$5021))</f>
        <v>0</v>
      </c>
      <c r="U40" s="104" cm="1">
        <f t="array" ref="U40">SUMPRODUCT(('Projects Overview'!$B$2:$B$5021="Telescopic Joint - QTR-3500")*('Projects Overview'!$G$2:$G$5021="Risk Release")*('Projects Overview'!AD$2:AD$5021))</f>
        <v>0</v>
      </c>
      <c r="V40" s="104" cm="1">
        <f t="array" ref="V40">SUMPRODUCT(('Projects Overview'!$B$2:$B$5021="Telescopic Joint - QTR-3500")*('Projects Overview'!$G$2:$G$5021="Risk Release")*('Projects Overview'!AE$2:AE$5021))</f>
        <v>0</v>
      </c>
      <c r="W40" s="104" cm="1">
        <f t="array" ref="W40">SUMPRODUCT(('Projects Overview'!$B$2:$B$5021="Telescopic Joint - QTR-3500")*('Projects Overview'!$G$2:$G$5021="Risk Release")*('Projects Overview'!AF$2:AF$5021))</f>
        <v>0</v>
      </c>
      <c r="X40" s="104" cm="1">
        <f t="array" ref="X40">SUMPRODUCT(('Projects Overview'!$B$2:$B$5021="Telescopic Joint - QTR-3500")*('Projects Overview'!$G$2:$G$5021="Risk Release")*('Projects Overview'!AG$2:AG$5021))</f>
        <v>0</v>
      </c>
      <c r="Y40" s="104" cm="1">
        <f t="array" ref="Y40">SUMPRODUCT(('Projects Overview'!$B$2:$B$5021="Telescopic Joint - QTR-3500")*('Projects Overview'!$G$2:$G$5021="Risk Release")*('Projects Overview'!AH$2:AH$5021))</f>
        <v>0</v>
      </c>
      <c r="Z40" s="104" cm="1">
        <f t="array" ref="Z40">SUMPRODUCT(('Projects Overview'!$B$2:$B$5021="Telescopic Joint - QTR-3500")*('Projects Overview'!$G$2:$G$5021="Risk Release")*('Projects Overview'!AI$2:AI$5021))</f>
        <v>0</v>
      </c>
      <c r="AA40" s="104" cm="1">
        <f t="array" ref="AA40">SUMPRODUCT(('Projects Overview'!$B$2:$B$5021="Telescopic Joint - QTR-3500")*('Projects Overview'!$G$2:$G$5021="Risk Release")*('Projects Overview'!AJ$2:AJ$5021))</f>
        <v>0</v>
      </c>
      <c r="AB40" s="104" cm="1">
        <f t="array" ref="AB40">SUMPRODUCT(('Projects Overview'!$B$2:$B$5021="Telescopic Joint - QTR-3500")*('Projects Overview'!$G$2:$G$5021="Risk Release")*('Projects Overview'!AK$2:AK$5021))</f>
        <v>0</v>
      </c>
      <c r="AC40" s="104" cm="1">
        <f t="array" ref="AC40">SUMPRODUCT(('Projects Overview'!$B$2:$B$5021="Telescopic Joint - QTR-3500")*('Projects Overview'!$G$2:$G$5021="Risk Release")*('Projects Overview'!AL$2:AL$5021))</f>
        <v>0</v>
      </c>
      <c r="AD40" s="104" cm="1">
        <f t="array" ref="AD40">SUMPRODUCT(('Projects Overview'!$B$2:$B$5021="Telescopic Joint - QTR-3500")*('Projects Overview'!$G$2:$G$5021="Risk Release")*('Projects Overview'!AM$2:AM$5021))</f>
        <v>0</v>
      </c>
      <c r="AE40" s="104" cm="1">
        <f t="array" ref="AE40">SUMPRODUCT(('Projects Overview'!$B$2:$B$5021="Telescopic Joint - QTR-3500")*('Projects Overview'!$G$2:$G$5021="Risk Release")*('Projects Overview'!AN$2:AN$5021))</f>
        <v>0</v>
      </c>
      <c r="AF40" s="104" cm="1">
        <f t="array" ref="AF40">SUMPRODUCT(('Projects Overview'!$B$2:$B$5021="Telescopic Joint - QTR-3500")*('Projects Overview'!$G$2:$G$5021="Risk Release")*('Projects Overview'!AO$2:AO$5021))</f>
        <v>0</v>
      </c>
      <c r="AG40" s="104" cm="1">
        <f t="array" ref="AG40">SUMPRODUCT(('Projects Overview'!$B$2:$B$5021="Telescopic Joint - QTR-3500")*('Projects Overview'!$G$2:$G$5021="Risk Release")*('Projects Overview'!AP$2:AP$5021))</f>
        <v>0</v>
      </c>
      <c r="AH40" s="104" cm="1">
        <f t="array" ref="AH40">SUMPRODUCT(('Projects Overview'!$B$2:$B$5021="Telescopic Joint - QTR-3500")*('Projects Overview'!$G$2:$G$5021="Risk Release")*('Projects Overview'!AQ$2:AQ$5021))</f>
        <v>0</v>
      </c>
      <c r="AI40" s="104" cm="1">
        <f t="array" ref="AI40">SUMPRODUCT(('Projects Overview'!$B$2:$B$5021="Telescopic Joint - QTR-3500")*('Projects Overview'!$G$2:$G$5021="Risk Release")*('Projects Overview'!AR$2:AR$5021))</f>
        <v>0</v>
      </c>
      <c r="AJ40" s="104" cm="1">
        <f t="array" ref="AJ40">SUMPRODUCT(('Projects Overview'!$B$2:$B$5021="Telescopic Joint - QTR-3500")*('Projects Overview'!$G$2:$G$5021="Risk Release")*('Projects Overview'!AS$2:AS$5021))</f>
        <v>0</v>
      </c>
      <c r="AK40" s="104" cm="1">
        <f t="array" ref="AK40">SUMPRODUCT(('Projects Overview'!$B$2:$B$5021="Telescopic Joint - QTR-3500")*('Projects Overview'!$G$2:$G$5021="Risk Release")*('Projects Overview'!AT$2:AT$5021))</f>
        <v>0</v>
      </c>
      <c r="AL40" s="104" cm="1">
        <f t="array" ref="AL40">SUMPRODUCT(('Projects Overview'!$B$2:$B$5021="Telescopic Joint - QTR-3500")*('Projects Overview'!$G$2:$G$5021="Risk Release")*('Projects Overview'!AU$2:AU$5021))</f>
        <v>0</v>
      </c>
      <c r="AM40" s="104" cm="1">
        <f t="array" ref="AM40">SUMPRODUCT(('Projects Overview'!$B$2:$B$5021="Telescopic Joint - QTR-3500")*('Projects Overview'!$G$2:$G$5021="Risk Release")*('Projects Overview'!AV$2:AV$5021))</f>
        <v>0</v>
      </c>
      <c r="AN40" s="9"/>
      <c r="AO40" s="9"/>
      <c r="AP40" s="9"/>
    </row>
    <row r="41" spans="1:63" ht="16" customHeight="1" thickBot="1" x14ac:dyDescent="0.4">
      <c r="A41" s="222"/>
      <c r="B41" s="226"/>
      <c r="C41" s="3" t="s">
        <v>8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 cm="1">
        <f t="array" ref="I41">SUMPRODUCT(('Projects Overview'!$B$2:$B$5021="Telescopic Joint - QTR-3500")*('Projects Overview'!$G$2:$G$5021="Forecast")*('Projects Overview'!R$2:R$5021))</f>
        <v>0</v>
      </c>
      <c r="J41" s="104" cm="1">
        <f t="array" ref="J41">SUMPRODUCT(('Projects Overview'!$B$2:$B$5021="Telescopic Joint - QTR-3500")*('Projects Overview'!$G$2:$G$5021="Forecast")*('Projects Overview'!S$2:S$5021))</f>
        <v>0</v>
      </c>
      <c r="K41" s="104" cm="1">
        <f t="array" ref="K41">SUMPRODUCT(('Projects Overview'!$B$2:$B$5021="Telescopic Joint - QTR-3500")*('Projects Overview'!$G$2:$G$5021="Forecast")*('Projects Overview'!T$2:T$5021))</f>
        <v>0</v>
      </c>
      <c r="L41" s="104" cm="1">
        <f t="array" ref="L41">SUMPRODUCT(('Projects Overview'!$B$2:$B$5021="Telescopic Joint - QTR-3500")*('Projects Overview'!$G$2:$G$5021="Forecast")*('Projects Overview'!U$2:U$5021))</f>
        <v>0</v>
      </c>
      <c r="M41" s="104" cm="1">
        <f t="array" ref="M41">SUMPRODUCT(('Projects Overview'!$B$2:$B$5021="Telescopic Joint - QTR-3500")*('Projects Overview'!$G$2:$G$5021="Forecast")*('Projects Overview'!V$2:V$5021))</f>
        <v>0</v>
      </c>
      <c r="N41" s="104" cm="1">
        <f t="array" ref="N41">SUMPRODUCT(('Projects Overview'!$B$2:$B$5021="Telescopic Joint - QTR-3500")*('Projects Overview'!$G$2:$G$5021="Forecast")*('Projects Overview'!W$2:W$5021))</f>
        <v>0</v>
      </c>
      <c r="O41" s="104" cm="1">
        <f t="array" ref="O41">SUMPRODUCT(('Projects Overview'!$B$2:$B$5021="Telescopic Joint - QTR-3500")*('Projects Overview'!$G$2:$G$5021="Forecast")*('Projects Overview'!X$2:X$5021))</f>
        <v>0</v>
      </c>
      <c r="P41" s="104" cm="1">
        <f t="array" ref="P41">SUMPRODUCT(('Projects Overview'!$B$2:$B$5021="Telescopic Joint - QTR-3500")*('Projects Overview'!$G$2:$G$5021="Forecast")*('Projects Overview'!Y$2:Y$5021))</f>
        <v>0</v>
      </c>
      <c r="Q41" s="104" cm="1">
        <f t="array" ref="Q41">SUMPRODUCT(('Projects Overview'!$B$2:$B$5021="Telescopic Joint - QTR-3500")*('Projects Overview'!$G$2:$G$5021="Forecast")*('Projects Overview'!Z$2:Z$5021))</f>
        <v>0</v>
      </c>
      <c r="R41" s="104" cm="1">
        <f t="array" ref="R41">SUMPRODUCT(('Projects Overview'!$B$2:$B$5021="Telescopic Joint - QTR-3500")*('Projects Overview'!$G$2:$G$5021="Forecast")*('Projects Overview'!AA$2:AA$5021))</f>
        <v>266.66666666666669</v>
      </c>
      <c r="S41" s="104" cm="1">
        <f t="array" ref="S41">SUMPRODUCT(('Projects Overview'!$B$2:$B$5021="Telescopic Joint - QTR-3500")*('Projects Overview'!$G$2:$G$5021="Forecast")*('Projects Overview'!AB$2:AB$5021))</f>
        <v>266.66666666666669</v>
      </c>
      <c r="T41" s="104" cm="1">
        <f t="array" ref="T41">SUMPRODUCT(('Projects Overview'!$B$2:$B$5021="Telescopic Joint - QTR-3500")*('Projects Overview'!$G$2:$G$5021="Forecast")*('Projects Overview'!AC$2:AC$5021))</f>
        <v>533.33333333333337</v>
      </c>
      <c r="U41" s="104" cm="1">
        <f t="array" ref="U41">SUMPRODUCT(('Projects Overview'!$B$2:$B$5021="Telescopic Joint - QTR-3500")*('Projects Overview'!$G$2:$G$5021="Forecast")*('Projects Overview'!AD$2:AD$5021))</f>
        <v>266.66666666666669</v>
      </c>
      <c r="V41" s="104" cm="1">
        <f t="array" ref="V41">SUMPRODUCT(('Projects Overview'!$B$2:$B$5021="Telescopic Joint - QTR-3500")*('Projects Overview'!$G$2:$G$5021="Forecast")*('Projects Overview'!AE$2:AE$5021))</f>
        <v>266.66666666666669</v>
      </c>
      <c r="W41" s="104" cm="1">
        <f t="array" ref="W41">SUMPRODUCT(('Projects Overview'!$B$2:$B$5021="Telescopic Joint - QTR-3500")*('Projects Overview'!$G$2:$G$5021="Forecast")*('Projects Overview'!AF$2:AF$5021))</f>
        <v>640</v>
      </c>
      <c r="X41" s="104" cm="1">
        <f t="array" ref="X41">SUMPRODUCT(('Projects Overview'!$B$2:$B$5021="Telescopic Joint - QTR-3500")*('Projects Overview'!$G$2:$G$5021="Forecast")*('Projects Overview'!AG$2:AG$5021))</f>
        <v>0</v>
      </c>
      <c r="Y41" s="104" cm="1">
        <f t="array" ref="Y41">SUMPRODUCT(('Projects Overview'!$B$2:$B$5021="Telescopic Joint - QTR-3500")*('Projects Overview'!$G$2:$G$5021="Forecast")*('Projects Overview'!AH$2:AH$5021))</f>
        <v>0</v>
      </c>
      <c r="Z41" s="104" cm="1">
        <f t="array" ref="Z41">SUMPRODUCT(('Projects Overview'!$B$2:$B$5021="Telescopic Joint - QTR-3500")*('Projects Overview'!$G$2:$G$5021="Forecast")*('Projects Overview'!AI$2:AI$5021))</f>
        <v>0</v>
      </c>
      <c r="AA41" s="104" cm="1">
        <f t="array" ref="AA41">SUMPRODUCT(('Projects Overview'!$B$2:$B$5021="Telescopic Joint - QTR-3500")*('Projects Overview'!$G$2:$G$5021="Forecast")*('Projects Overview'!AJ$2:AJ$5021))</f>
        <v>0</v>
      </c>
      <c r="AB41" s="104" cm="1">
        <f t="array" ref="AB41">SUMPRODUCT(('Projects Overview'!$B$2:$B$5021="Telescopic Joint - QTR-3500")*('Projects Overview'!$G$2:$G$5021="Forecast")*('Projects Overview'!AK$2:AK$5021))</f>
        <v>0</v>
      </c>
      <c r="AC41" s="104" cm="1">
        <f t="array" ref="AC41">SUMPRODUCT(('Projects Overview'!$B$2:$B$5021="Telescopic Joint - QTR-3500")*('Projects Overview'!$G$2:$G$5021="Forecast")*('Projects Overview'!AL$2:AL$5021))</f>
        <v>0</v>
      </c>
      <c r="AD41" s="104" cm="1">
        <f t="array" ref="AD41">SUMPRODUCT(('Projects Overview'!$B$2:$B$5021="Telescopic Joint - QTR-3500")*('Projects Overview'!$G$2:$G$5021="Forecast")*('Projects Overview'!AM$2:AM$5021))</f>
        <v>0</v>
      </c>
      <c r="AE41" s="104" cm="1">
        <f t="array" ref="AE41">SUMPRODUCT(('Projects Overview'!$B$2:$B$5021="Telescopic Joint - QTR-3500")*('Projects Overview'!$G$2:$G$5021="Forecast")*('Projects Overview'!AN$2:AN$5021))</f>
        <v>0</v>
      </c>
      <c r="AF41" s="104" cm="1">
        <f t="array" ref="AF41">SUMPRODUCT(('Projects Overview'!$B$2:$B$5021="Telescopic Joint - QTR-3500")*('Projects Overview'!$G$2:$G$5021="Forecast")*('Projects Overview'!AO$2:AO$5021))</f>
        <v>0</v>
      </c>
      <c r="AG41" s="104" cm="1">
        <f t="array" ref="AG41">SUMPRODUCT(('Projects Overview'!$B$2:$B$5021="Telescopic Joint - QTR-3500")*('Projects Overview'!$G$2:$G$5021="Forecast")*('Projects Overview'!AP$2:AP$5021))</f>
        <v>0</v>
      </c>
      <c r="AH41" s="104" cm="1">
        <f t="array" ref="AH41">SUMPRODUCT(('Projects Overview'!$B$2:$B$5021="Telescopic Joint - QTR-3500")*('Projects Overview'!$G$2:$G$5021="Forecast")*('Projects Overview'!AQ$2:AQ$5021))</f>
        <v>0</v>
      </c>
      <c r="AI41" s="104" cm="1">
        <f t="array" ref="AI41">SUMPRODUCT(('Projects Overview'!$B$2:$B$5021="Telescopic Joint - QTR-3500")*('Projects Overview'!$G$2:$G$5021="Forecast")*('Projects Overview'!AR$2:AR$5021))</f>
        <v>0</v>
      </c>
      <c r="AJ41" s="104" cm="1">
        <f t="array" ref="AJ41">SUMPRODUCT(('Projects Overview'!$B$2:$B$5021="Telescopic Joint - QTR-3500")*('Projects Overview'!$G$2:$G$5021="Forecast")*('Projects Overview'!AS$2:AS$5021))</f>
        <v>0</v>
      </c>
      <c r="AK41" s="104" cm="1">
        <f t="array" ref="AK41">SUMPRODUCT(('Projects Overview'!$B$2:$B$5021="Telescopic Joint - QTR-3500")*('Projects Overview'!$G$2:$G$5021="Forecast")*('Projects Overview'!AT$2:AT$5021))</f>
        <v>0</v>
      </c>
      <c r="AL41" s="104" cm="1">
        <f t="array" ref="AL41">SUMPRODUCT(('Projects Overview'!$B$2:$B$5021="Telescopic Joint - QTR-3500")*('Projects Overview'!$G$2:$G$5021="Forecast")*('Projects Overview'!AU$2:AU$5021))</f>
        <v>0</v>
      </c>
      <c r="AM41" s="104" cm="1">
        <f t="array" ref="AM41">SUMPRODUCT(('Projects Overview'!$B$2:$B$5021="Telescopic Joint - QTR-3500")*('Projects Overview'!$G$2:$G$5021="Forecast")*('Projects Overview'!AV$2:AV$5021))</f>
        <v>0</v>
      </c>
      <c r="AN41" s="9"/>
      <c r="AO41" s="233" t="s">
        <v>360</v>
      </c>
      <c r="AP41" s="234"/>
      <c r="AQ41" s="234"/>
      <c r="AR41" s="234"/>
      <c r="AS41" s="234"/>
      <c r="AT41" s="234"/>
      <c r="AU41" s="234"/>
      <c r="AV41" s="234"/>
      <c r="AW41" s="234"/>
      <c r="AX41" s="234"/>
      <c r="AY41" s="234"/>
      <c r="AZ41" s="234"/>
      <c r="BA41" s="234"/>
      <c r="BB41" s="235"/>
      <c r="BE41" s="160"/>
    </row>
    <row r="42" spans="1:63" ht="16" customHeight="1" thickBot="1" x14ac:dyDescent="0.4">
      <c r="A42" s="222"/>
      <c r="B42" s="224" t="s">
        <v>361</v>
      </c>
      <c r="C42" s="1" t="s">
        <v>4</v>
      </c>
      <c r="D42" s="104">
        <v>0</v>
      </c>
      <c r="E42" s="104">
        <v>0</v>
      </c>
      <c r="F42" s="104">
        <v>0</v>
      </c>
      <c r="G42" s="104">
        <v>0</v>
      </c>
      <c r="H42" s="104">
        <v>0</v>
      </c>
      <c r="I42" s="104" cm="1">
        <f t="array" ref="I42">SUMPRODUCT(('Projects Overview'!$B$2:$B$5021="Riser Joint - FT - H")*('Projects Overview'!$G$2:$G$5021="Firm")*('Projects Overview'!R$2:R$5021))</f>
        <v>2867</v>
      </c>
      <c r="J42" s="104" cm="1">
        <f t="array" ref="J42">SUMPRODUCT(('Projects Overview'!$B$2:$B$5021="Riser Joint - FT - H")*('Projects Overview'!$G$2:$G$5021="Firm")*('Projects Overview'!S$2:S$5021))</f>
        <v>3278</v>
      </c>
      <c r="K42" s="104" cm="1">
        <f t="array" ref="K42">SUMPRODUCT(('Projects Overview'!$B$2:$B$5021="Riser Joint - FT - H")*('Projects Overview'!$G$2:$G$5021="Firm")*('Projects Overview'!T$2:T$5021))</f>
        <v>600</v>
      </c>
      <c r="L42" s="104" cm="1">
        <f t="array" ref="L42">SUMPRODUCT(('Projects Overview'!$B$2:$B$5021="Riser Joint - FT - H")*('Projects Overview'!$G$2:$G$5021="Firm")*('Projects Overview'!U$2:U$5021))</f>
        <v>3750</v>
      </c>
      <c r="M42" s="104" cm="1">
        <f t="array" ref="M42">SUMPRODUCT(('Projects Overview'!$B$2:$B$5021="Riser Joint - FT - H")*('Projects Overview'!$G$2:$G$5021="Firm")*('Projects Overview'!V$2:V$5021))</f>
        <v>4495</v>
      </c>
      <c r="N42" s="104" cm="1">
        <f t="array" ref="N42">SUMPRODUCT(('Projects Overview'!$B$2:$B$5021="Riser Joint - FT - H")*('Projects Overview'!$G$2:$G$5021="Firm")*('Projects Overview'!W$2:W$5021))</f>
        <v>4070</v>
      </c>
      <c r="O42" s="104" cm="1">
        <f t="array" ref="O42">SUMPRODUCT(('Projects Overview'!$B$2:$B$5021="Riser Joint - FT - H")*('Projects Overview'!$G$2:$G$5021="Firm")*('Projects Overview'!X$2:X$5021))</f>
        <v>15261.6</v>
      </c>
      <c r="P42" s="104" cm="1">
        <f t="array" ref="P42">SUMPRODUCT(('Projects Overview'!$B$2:$B$5021="Riser Joint - FT - H")*('Projects Overview'!$G$2:$G$5021="Firm")*('Projects Overview'!Y$2:Y$5021))</f>
        <v>9476.6</v>
      </c>
      <c r="Q42" s="104" cm="1">
        <f t="array" ref="Q42">SUMPRODUCT(('Projects Overview'!$B$2:$B$5021="Riser Joint - FT - H")*('Projects Overview'!$G$2:$G$5021="Firm")*('Projects Overview'!Z$2:Z$5021))</f>
        <v>6385</v>
      </c>
      <c r="R42" s="104" cm="1">
        <f t="array" ref="R42">SUMPRODUCT(('Projects Overview'!$B$2:$B$5021="Riser Joint - FT - H")*('Projects Overview'!$G$2:$G$5021="Firm")*('Projects Overview'!AA$2:AA$5021))</f>
        <v>5200</v>
      </c>
      <c r="S42" s="104" cm="1">
        <f t="array" ref="S42">SUMPRODUCT(('Projects Overview'!$B$2:$B$5021="Riser Joint - FT - H")*('Projects Overview'!$G$2:$G$5021="Firm")*('Projects Overview'!AB$2:AB$5021))</f>
        <v>968</v>
      </c>
      <c r="T42" s="104" cm="1">
        <f t="array" ref="T42">SUMPRODUCT(('Projects Overview'!$B$2:$B$5021="Riser Joint - FT - H")*('Projects Overview'!$G$2:$G$5021="Firm")*('Projects Overview'!AC$2:AC$5021))</f>
        <v>968</v>
      </c>
      <c r="U42" s="104" cm="1">
        <f t="array" ref="U42">SUMPRODUCT(('Projects Overview'!$B$2:$B$5021="Riser Joint - FT - H")*('Projects Overview'!$G$2:$G$5021="Firm")*('Projects Overview'!AD$2:AD$5021))</f>
        <v>0</v>
      </c>
      <c r="V42" s="104" cm="1">
        <f t="array" ref="V42">SUMPRODUCT(('Projects Overview'!$B$2:$B$5021="Riser Joint - FT - H")*('Projects Overview'!$G$2:$G$5021="Firm")*('Projects Overview'!AE$2:AE$5021))</f>
        <v>0</v>
      </c>
      <c r="W42" s="104" cm="1">
        <f t="array" ref="W42">SUMPRODUCT(('Projects Overview'!$B$2:$B$5021="Riser Joint - FT - H")*('Projects Overview'!$G$2:$G$5021="Firm")*('Projects Overview'!AF$2:AF$5021))</f>
        <v>4200</v>
      </c>
      <c r="X42" s="104" cm="1">
        <f t="array" ref="X42">SUMPRODUCT(('Projects Overview'!$B$2:$B$5021="Riser Joint - FT - H")*('Projects Overview'!$G$2:$G$5021="Firm")*('Projects Overview'!AG$2:AG$5021))</f>
        <v>4200</v>
      </c>
      <c r="Y42" s="104" cm="1">
        <f t="array" ref="Y42">SUMPRODUCT(('Projects Overview'!$B$2:$B$5021="Riser Joint - FT - H")*('Projects Overview'!$G$2:$G$5021="Firm")*('Projects Overview'!AH$2:AH$5021))</f>
        <v>0</v>
      </c>
      <c r="Z42" s="104" cm="1">
        <f t="array" ref="Z42">SUMPRODUCT(('Projects Overview'!$B$2:$B$5021="Riser Joint - FT - H")*('Projects Overview'!$G$2:$G$5021="Firm")*('Projects Overview'!AI$2:AI$5021))</f>
        <v>4008</v>
      </c>
      <c r="AA42" s="104" cm="1">
        <f t="array" ref="AA42">SUMPRODUCT(('Projects Overview'!$B$2:$B$5021="Riser Joint - FT - H")*('Projects Overview'!$G$2:$G$5021="Firm")*('Projects Overview'!AJ$2:AJ$5021))</f>
        <v>4370</v>
      </c>
      <c r="AB42" s="104" cm="1">
        <f t="array" ref="AB42">SUMPRODUCT(('Projects Overview'!$B$2:$B$5021="Riser Joint - FT - H")*('Projects Overview'!$G$2:$G$5021="Firm")*('Projects Overview'!AK$2:AK$5021))</f>
        <v>4287.6000000000004</v>
      </c>
      <c r="AC42" s="104" cm="1">
        <f t="array" ref="AC42">SUMPRODUCT(('Projects Overview'!$B$2:$B$5021="Riser Joint - FT - H")*('Projects Overview'!$G$2:$G$5021="Firm")*('Projects Overview'!AL$2:AL$5021))</f>
        <v>2025</v>
      </c>
      <c r="AD42" s="104" cm="1">
        <f t="array" ref="AD42">SUMPRODUCT(('Projects Overview'!$B$2:$B$5021="Riser Joint - FT - H")*('Projects Overview'!$G$2:$G$5021="Firm")*('Projects Overview'!AM$2:AM$5021))</f>
        <v>1915.2000000000003</v>
      </c>
      <c r="AE42" s="104" cm="1">
        <f t="array" ref="AE42">SUMPRODUCT(('Projects Overview'!$B$2:$B$5021="Riser Joint - FT - H")*('Projects Overview'!$G$2:$G$5021="Firm")*('Projects Overview'!AN$2:AN$5021))</f>
        <v>3907.8</v>
      </c>
      <c r="AF42" s="104" cm="1">
        <f t="array" ref="AF42">SUMPRODUCT(('Projects Overview'!$B$2:$B$5021="Riser Joint - FT - H")*('Projects Overview'!$G$2:$G$5021="Firm")*('Projects Overview'!AO$2:AO$5021))</f>
        <v>3182.4</v>
      </c>
      <c r="AG42" s="104" cm="1">
        <f t="array" ref="AG42">SUMPRODUCT(('Projects Overview'!$B$2:$B$5021="Riser Joint - FT - H")*('Projects Overview'!$G$2:$G$5021="Firm")*('Projects Overview'!AP$2:AP$5021))</f>
        <v>2232</v>
      </c>
      <c r="AH42" s="104" cm="1">
        <f t="array" ref="AH42">SUMPRODUCT(('Projects Overview'!$B$2:$B$5021="Riser Joint - FT - H")*('Projects Overview'!$G$2:$G$5021="Firm")*('Projects Overview'!AQ$2:AQ$5021))</f>
        <v>2450.8000000000002</v>
      </c>
      <c r="AI42" s="104" cm="1">
        <f t="array" ref="AI42">SUMPRODUCT(('Projects Overview'!$B$2:$B$5021="Riser Joint - FT - H")*('Projects Overview'!$G$2:$G$5021="Firm")*('Projects Overview'!AR$2:AR$5021))</f>
        <v>3091</v>
      </c>
      <c r="AJ42" s="104" cm="1">
        <f t="array" ref="AJ42">SUMPRODUCT(('Projects Overview'!$B$2:$B$5021="Riser Joint - FT - H")*('Projects Overview'!$G$2:$G$5021="Firm")*('Projects Overview'!AS$2:AS$5021))</f>
        <v>3550</v>
      </c>
      <c r="AK42" s="104" cm="1">
        <f t="array" ref="AK42">SUMPRODUCT(('Projects Overview'!$B$2:$B$5021="Riser Joint - FT - H")*('Projects Overview'!$G$2:$G$5021="Firm")*('Projects Overview'!AT$2:AT$5021))</f>
        <v>8082</v>
      </c>
      <c r="AL42" s="104" cm="1">
        <f t="array" ref="AL42">SUMPRODUCT(('Projects Overview'!$B$2:$B$5021="Riser Joint - FT - H")*('Projects Overview'!$G$2:$G$5021="Firm")*('Projects Overview'!AU$2:AU$5021))</f>
        <v>4320</v>
      </c>
      <c r="AM42" s="104" cm="1">
        <f t="array" ref="AM42">SUMPRODUCT(('Projects Overview'!$B$2:$B$5021="Riser Joint - FT - H")*('Projects Overview'!$G$2:$G$5021="Firm")*('Projects Overview'!AV$2:AV$5021))</f>
        <v>660</v>
      </c>
      <c r="AN42" s="9"/>
      <c r="AO42" s="93"/>
      <c r="AP42" s="94">
        <v>2024</v>
      </c>
      <c r="AQ42" s="233">
        <v>2025</v>
      </c>
      <c r="AR42" s="234"/>
      <c r="AS42" s="234"/>
      <c r="AT42" s="235"/>
      <c r="AU42" s="233">
        <v>2026</v>
      </c>
      <c r="AV42" s="234"/>
      <c r="AW42" s="234"/>
      <c r="AX42" s="235"/>
      <c r="AY42" s="233">
        <v>2027</v>
      </c>
      <c r="AZ42" s="234"/>
      <c r="BA42" s="234"/>
      <c r="BB42" s="235"/>
      <c r="BE42" s="58"/>
    </row>
    <row r="43" spans="1:63" ht="16" customHeight="1" thickBot="1" x14ac:dyDescent="0.4">
      <c r="A43" s="222"/>
      <c r="B43" s="225"/>
      <c r="C43" s="2" t="s">
        <v>6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  <c r="I43" s="104" cm="1">
        <f t="array" ref="I43">SUMPRODUCT(('Projects Overview'!$B$2:$B$5021="Riser Joint - FT - H")*('Projects Overview'!$G$2:$G$5021="Risk Release")*('Projects Overview'!R$2:R$5021))</f>
        <v>0</v>
      </c>
      <c r="J43" s="104" cm="1">
        <f t="array" ref="J43">SUMPRODUCT(('Projects Overview'!$B$2:$B$5021="Riser Joint - FT - H")*('Projects Overview'!$G$2:$G$5021="Risk Release")*('Projects Overview'!S$2:S$5021))</f>
        <v>0</v>
      </c>
      <c r="K43" s="104" cm="1">
        <f t="array" ref="K43">SUMPRODUCT(('Projects Overview'!$B$2:$B$5021="Riser Joint - FT - H")*('Projects Overview'!$G$2:$G$5021="Risk Release")*('Projects Overview'!T$2:T$5021))</f>
        <v>0</v>
      </c>
      <c r="L43" s="104" cm="1">
        <f t="array" ref="L43">SUMPRODUCT(('Projects Overview'!$B$2:$B$5021="Riser Joint - FT - H")*('Projects Overview'!$G$2:$G$5021="Risk Release")*('Projects Overview'!U$2:U$5021))</f>
        <v>0</v>
      </c>
      <c r="M43" s="104" cm="1">
        <f t="array" ref="M43">SUMPRODUCT(('Projects Overview'!$B$2:$B$5021="Riser Joint - FT - H")*('Projects Overview'!$G$2:$G$5021="Risk Release")*('Projects Overview'!V$2:V$5021))</f>
        <v>0</v>
      </c>
      <c r="N43" s="104" cm="1">
        <f t="array" ref="N43">SUMPRODUCT(('Projects Overview'!$B$2:$B$5021="Riser Joint - FT - H")*('Projects Overview'!$G$2:$G$5021="Risk Release")*('Projects Overview'!W$2:W$5021))</f>
        <v>0</v>
      </c>
      <c r="O43" s="104" cm="1">
        <f t="array" ref="O43">SUMPRODUCT(('Projects Overview'!$B$2:$B$5021="Riser Joint - FT - H")*('Projects Overview'!$G$2:$G$5021="Risk Release")*('Projects Overview'!X$2:X$5021))</f>
        <v>0</v>
      </c>
      <c r="P43" s="104" cm="1">
        <f t="array" ref="P43">SUMPRODUCT(('Projects Overview'!$B$2:$B$5021="Riser Joint - FT - H")*('Projects Overview'!$G$2:$G$5021="Risk Release")*('Projects Overview'!Y$2:Y$5021))</f>
        <v>0</v>
      </c>
      <c r="Q43" s="104" cm="1">
        <f t="array" ref="Q43">SUMPRODUCT(('Projects Overview'!$B$2:$B$5021="Riser Joint - FT - H")*('Projects Overview'!$G$2:$G$5021="Risk Release")*('Projects Overview'!Z$2:Z$5021))</f>
        <v>0</v>
      </c>
      <c r="R43" s="104" cm="1">
        <f t="array" ref="R43">SUMPRODUCT(('Projects Overview'!$B$2:$B$5021="Riser Joint - FT - H")*('Projects Overview'!$G$2:$G$5021="Risk Release")*('Projects Overview'!AA$2:AA$5021))</f>
        <v>0</v>
      </c>
      <c r="S43" s="104" cm="1">
        <f t="array" ref="S43">SUMPRODUCT(('Projects Overview'!$B$2:$B$5021="Riser Joint - FT - H")*('Projects Overview'!$G$2:$G$5021="Risk Release")*('Projects Overview'!AB$2:AB$5021))</f>
        <v>0</v>
      </c>
      <c r="T43" s="104" cm="1">
        <f t="array" ref="T43">SUMPRODUCT(('Projects Overview'!$B$2:$B$5021="Riser Joint - FT - H")*('Projects Overview'!$G$2:$G$5021="Risk Release")*('Projects Overview'!AC$2:AC$5021))</f>
        <v>0</v>
      </c>
      <c r="U43" s="104" cm="1">
        <f t="array" ref="U43">SUMPRODUCT(('Projects Overview'!$B$2:$B$5021="Riser Joint - FT - H")*('Projects Overview'!$G$2:$G$5021="Risk Release")*('Projects Overview'!AD$2:AD$5021))</f>
        <v>0</v>
      </c>
      <c r="V43" s="104" cm="1">
        <f t="array" ref="V43">SUMPRODUCT(('Projects Overview'!$B$2:$B$5021="Riser Joint - FT - H")*('Projects Overview'!$G$2:$G$5021="Risk Release")*('Projects Overview'!AE$2:AE$5021))</f>
        <v>0</v>
      </c>
      <c r="W43" s="104" cm="1">
        <f t="array" ref="W43">SUMPRODUCT(('Projects Overview'!$B$2:$B$5021="Riser Joint - FT - H")*('Projects Overview'!$G$2:$G$5021="Risk Release")*('Projects Overview'!AF$2:AF$5021))</f>
        <v>0</v>
      </c>
      <c r="X43" s="104" cm="1">
        <f t="array" ref="X43">SUMPRODUCT(('Projects Overview'!$B$2:$B$5021="Riser Joint - FT - H")*('Projects Overview'!$G$2:$G$5021="Risk Release")*('Projects Overview'!AG$2:AG$5021))</f>
        <v>0</v>
      </c>
      <c r="Y43" s="104" cm="1">
        <f t="array" ref="Y43">SUMPRODUCT(('Projects Overview'!$B$2:$B$5021="Riser Joint - FT - H")*('Projects Overview'!$G$2:$G$5021="Risk Release")*('Projects Overview'!AH$2:AH$5021))</f>
        <v>0</v>
      </c>
      <c r="Z43" s="104" cm="1">
        <f t="array" ref="Z43">SUMPRODUCT(('Projects Overview'!$B$2:$B$5021="Riser Joint - FT - H")*('Projects Overview'!$G$2:$G$5021="Risk Release")*('Projects Overview'!AI$2:AI$5021))</f>
        <v>0</v>
      </c>
      <c r="AA43" s="104" cm="1">
        <f t="array" ref="AA43">SUMPRODUCT(('Projects Overview'!$B$2:$B$5021="Riser Joint - FT - H")*('Projects Overview'!$G$2:$G$5021="Risk Release")*('Projects Overview'!AJ$2:AJ$5021))</f>
        <v>0</v>
      </c>
      <c r="AB43" s="104" cm="1">
        <f t="array" ref="AB43">SUMPRODUCT(('Projects Overview'!$B$2:$B$5021="Riser Joint - FT - H")*('Projects Overview'!$G$2:$G$5021="Risk Release")*('Projects Overview'!AK$2:AK$5021))</f>
        <v>0</v>
      </c>
      <c r="AC43" s="104" cm="1">
        <f t="array" ref="AC43">SUMPRODUCT(('Projects Overview'!$B$2:$B$5021="Riser Joint - FT - H")*('Projects Overview'!$G$2:$G$5021="Risk Release")*('Projects Overview'!AL$2:AL$5021))</f>
        <v>0</v>
      </c>
      <c r="AD43" s="104" cm="1">
        <f t="array" ref="AD43">SUMPRODUCT(('Projects Overview'!$B$2:$B$5021="Riser Joint - FT - H")*('Projects Overview'!$G$2:$G$5021="Risk Release")*('Projects Overview'!AM$2:AM$5021))</f>
        <v>0</v>
      </c>
      <c r="AE43" s="104" cm="1">
        <f t="array" ref="AE43">SUMPRODUCT(('Projects Overview'!$B$2:$B$5021="Riser Joint - FT - H")*('Projects Overview'!$G$2:$G$5021="Risk Release")*('Projects Overview'!AN$2:AN$5021))</f>
        <v>0</v>
      </c>
      <c r="AF43" s="104" cm="1">
        <f t="array" ref="AF43">SUMPRODUCT(('Projects Overview'!$B$2:$B$5021="Riser Joint - FT - H")*('Projects Overview'!$G$2:$G$5021="Risk Release")*('Projects Overview'!AO$2:AO$5021))</f>
        <v>0</v>
      </c>
      <c r="AG43" s="104" cm="1">
        <f t="array" ref="AG43">SUMPRODUCT(('Projects Overview'!$B$2:$B$5021="Riser Joint - FT - H")*('Projects Overview'!$G$2:$G$5021="Risk Release")*('Projects Overview'!AP$2:AP$5021))</f>
        <v>0</v>
      </c>
      <c r="AH43" s="104" cm="1">
        <f t="array" ref="AH43">SUMPRODUCT(('Projects Overview'!$B$2:$B$5021="Riser Joint - FT - H")*('Projects Overview'!$G$2:$G$5021="Risk Release")*('Projects Overview'!AQ$2:AQ$5021))</f>
        <v>0</v>
      </c>
      <c r="AI43" s="104" cm="1">
        <f t="array" ref="AI43">SUMPRODUCT(('Projects Overview'!$B$2:$B$5021="Riser Joint - FT - H")*('Projects Overview'!$G$2:$G$5021="Risk Release")*('Projects Overview'!AR$2:AR$5021))</f>
        <v>0</v>
      </c>
      <c r="AJ43" s="104" cm="1">
        <f t="array" ref="AJ43">SUMPRODUCT(('Projects Overview'!$B$2:$B$5021="Riser Joint - FT - H")*('Projects Overview'!$G$2:$G$5021="Risk Release")*('Projects Overview'!AS$2:AS$5021))</f>
        <v>0</v>
      </c>
      <c r="AK43" s="104" cm="1">
        <f t="array" ref="AK43">SUMPRODUCT(('Projects Overview'!$B$2:$B$5021="Riser Joint - FT - H")*('Projects Overview'!$G$2:$G$5021="Risk Release")*('Projects Overview'!AT$2:AT$5021))</f>
        <v>0</v>
      </c>
      <c r="AL43" s="104" cm="1">
        <f t="array" ref="AL43">SUMPRODUCT(('Projects Overview'!$B$2:$B$5021="Riser Joint - FT - H")*('Projects Overview'!$G$2:$G$5021="Risk Release")*('Projects Overview'!AU$2:AU$5021))</f>
        <v>0</v>
      </c>
      <c r="AM43" s="104" cm="1">
        <f t="array" ref="AM43">SUMPRODUCT(('Projects Overview'!$B$2:$B$5021="Riser Joint - FT - H")*('Projects Overview'!$G$2:$G$5021="Risk Release")*('Projects Overview'!AV$2:AV$5021))</f>
        <v>0</v>
      </c>
      <c r="AN43" s="9"/>
      <c r="AO43" s="92" t="s">
        <v>362</v>
      </c>
      <c r="AP43" s="90" t="s">
        <v>363</v>
      </c>
      <c r="AQ43" s="91" t="s">
        <v>364</v>
      </c>
      <c r="AR43" s="90" t="s">
        <v>365</v>
      </c>
      <c r="AS43" s="90" t="s">
        <v>366</v>
      </c>
      <c r="AT43" s="90" t="s">
        <v>367</v>
      </c>
      <c r="AU43" s="142" t="s">
        <v>368</v>
      </c>
      <c r="AV43" s="142" t="s">
        <v>369</v>
      </c>
      <c r="AW43" s="142" t="s">
        <v>370</v>
      </c>
      <c r="AX43" s="142" t="s">
        <v>371</v>
      </c>
      <c r="AY43" s="142" t="s">
        <v>557</v>
      </c>
      <c r="AZ43" s="142" t="s">
        <v>558</v>
      </c>
      <c r="BA43" s="142" t="s">
        <v>559</v>
      </c>
      <c r="BB43" s="142" t="s">
        <v>560</v>
      </c>
      <c r="BE43" s="8"/>
    </row>
    <row r="44" spans="1:63" ht="16" customHeight="1" thickBot="1" x14ac:dyDescent="0.4">
      <c r="A44" s="222"/>
      <c r="B44" s="226"/>
      <c r="C44" s="3" t="s">
        <v>8</v>
      </c>
      <c r="D44" s="104">
        <v>0</v>
      </c>
      <c r="E44" s="104">
        <v>0</v>
      </c>
      <c r="F44" s="104">
        <v>0</v>
      </c>
      <c r="G44" s="104">
        <v>0</v>
      </c>
      <c r="H44" s="104">
        <v>0</v>
      </c>
      <c r="I44" s="104" cm="1">
        <f t="array" ref="I44">SUMPRODUCT(('Projects Overview'!$B$2:$B$5021="Riser Joint - FT - H")*('Projects Overview'!$G$2:$G$5021="Forecast")*('Projects Overview'!R$2:R$5021))</f>
        <v>0</v>
      </c>
      <c r="J44" s="104" cm="1">
        <f t="array" ref="J44">SUMPRODUCT(('Projects Overview'!$B$2:$B$5021="Riser Joint - FT - H")*('Projects Overview'!$G$2:$G$5021="Forecast")*('Projects Overview'!S$2:S$5021))</f>
        <v>0</v>
      </c>
      <c r="K44" s="104" cm="1">
        <f t="array" ref="K44">SUMPRODUCT(('Projects Overview'!$B$2:$B$5021="Riser Joint - FT - H")*('Projects Overview'!$G$2:$G$5021="Forecast")*('Projects Overview'!T$2:T$5021))</f>
        <v>0</v>
      </c>
      <c r="L44" s="104" cm="1">
        <f t="array" ref="L44">SUMPRODUCT(('Projects Overview'!$B$2:$B$5021="Riser Joint - FT - H")*('Projects Overview'!$G$2:$G$5021="Forecast")*('Projects Overview'!U$2:U$5021))</f>
        <v>0</v>
      </c>
      <c r="M44" s="104" cm="1">
        <f t="array" ref="M44">SUMPRODUCT(('Projects Overview'!$B$2:$B$5021="Riser Joint - FT - H")*('Projects Overview'!$G$2:$G$5021="Forecast")*('Projects Overview'!V$2:V$5021))</f>
        <v>0</v>
      </c>
      <c r="N44" s="104" cm="1">
        <f t="array" ref="N44">SUMPRODUCT(('Projects Overview'!$B$2:$B$5021="Riser Joint - FT - H")*('Projects Overview'!$G$2:$G$5021="Forecast")*('Projects Overview'!W$2:W$5021))</f>
        <v>0</v>
      </c>
      <c r="O44" s="104" cm="1">
        <f t="array" ref="O44">SUMPRODUCT(('Projects Overview'!$B$2:$B$5021="Riser Joint - FT - H")*('Projects Overview'!$G$2:$G$5021="Forecast")*('Projects Overview'!X$2:X$5021))</f>
        <v>0</v>
      </c>
      <c r="P44" s="104" cm="1">
        <f t="array" ref="P44">SUMPRODUCT(('Projects Overview'!$B$2:$B$5021="Riser Joint - FT - H")*('Projects Overview'!$G$2:$G$5021="Forecast")*('Projects Overview'!Y$2:Y$5021))</f>
        <v>0</v>
      </c>
      <c r="Q44" s="104" cm="1">
        <f t="array" ref="Q44">SUMPRODUCT(('Projects Overview'!$B$2:$B$5021="Riser Joint - FT - H")*('Projects Overview'!$G$2:$G$5021="Forecast")*('Projects Overview'!Z$2:Z$5021))</f>
        <v>0</v>
      </c>
      <c r="R44" s="104" cm="1">
        <f t="array" ref="R44">SUMPRODUCT(('Projects Overview'!$B$2:$B$5021="Riser Joint - FT - H")*('Projects Overview'!$G$2:$G$5021="Forecast")*('Projects Overview'!AA$2:AA$5021))</f>
        <v>0</v>
      </c>
      <c r="S44" s="104" cm="1">
        <f t="array" ref="S44">SUMPRODUCT(('Projects Overview'!$B$2:$B$5021="Riser Joint - FT - H")*('Projects Overview'!$G$2:$G$5021="Forecast")*('Projects Overview'!AB$2:AB$5021))</f>
        <v>0</v>
      </c>
      <c r="T44" s="104" cm="1">
        <f t="array" ref="T44">SUMPRODUCT(('Projects Overview'!$B$2:$B$5021="Riser Joint - FT - H")*('Projects Overview'!$G$2:$G$5021="Forecast")*('Projects Overview'!AC$2:AC$5021))</f>
        <v>0</v>
      </c>
      <c r="U44" s="104" cm="1">
        <f t="array" ref="U44">SUMPRODUCT(('Projects Overview'!$B$2:$B$5021="Riser Joint - FT - H")*('Projects Overview'!$G$2:$G$5021="Forecast")*('Projects Overview'!AD$2:AD$5021))</f>
        <v>0</v>
      </c>
      <c r="V44" s="104" cm="1">
        <f t="array" ref="V44">SUMPRODUCT(('Projects Overview'!$B$2:$B$5021="Riser Joint - FT - H")*('Projects Overview'!$G$2:$G$5021="Forecast")*('Projects Overview'!AE$2:AE$5021))</f>
        <v>0</v>
      </c>
      <c r="W44" s="104" cm="1">
        <f t="array" ref="W44">SUMPRODUCT(('Projects Overview'!$B$2:$B$5021="Riser Joint - FT - H")*('Projects Overview'!$G$2:$G$5021="Forecast")*('Projects Overview'!AF$2:AF$5021))</f>
        <v>0</v>
      </c>
      <c r="X44" s="104" cm="1">
        <f t="array" ref="X44">SUMPRODUCT(('Projects Overview'!$B$2:$B$5021="Riser Joint - FT - H")*('Projects Overview'!$G$2:$G$5021="Forecast")*('Projects Overview'!AG$2:AG$5021))</f>
        <v>0</v>
      </c>
      <c r="Y44" s="104" cm="1">
        <f t="array" ref="Y44">SUMPRODUCT(('Projects Overview'!$B$2:$B$5021="Riser Joint - FT - H")*('Projects Overview'!$G$2:$G$5021="Forecast")*('Projects Overview'!AH$2:AH$5021))</f>
        <v>0</v>
      </c>
      <c r="Z44" s="104" cm="1">
        <f t="array" ref="Z44">SUMPRODUCT(('Projects Overview'!$B$2:$B$5021="Riser Joint - FT - H")*('Projects Overview'!$G$2:$G$5021="Forecast")*('Projects Overview'!AI$2:AI$5021))</f>
        <v>0</v>
      </c>
      <c r="AA44" s="104" cm="1">
        <f t="array" ref="AA44">SUMPRODUCT(('Projects Overview'!$B$2:$B$5021="Riser Joint - FT - H")*('Projects Overview'!$G$2:$G$5021="Forecast")*('Projects Overview'!AJ$2:AJ$5021))</f>
        <v>0</v>
      </c>
      <c r="AB44" s="104" cm="1">
        <f t="array" ref="AB44">SUMPRODUCT(('Projects Overview'!$B$2:$B$5021="Riser Joint - FT - H")*('Projects Overview'!$G$2:$G$5021="Forecast")*('Projects Overview'!AK$2:AK$5021))</f>
        <v>0</v>
      </c>
      <c r="AC44" s="104" cm="1">
        <f t="array" ref="AC44">SUMPRODUCT(('Projects Overview'!$B$2:$B$5021="Riser Joint - FT - H")*('Projects Overview'!$G$2:$G$5021="Forecast")*('Projects Overview'!AL$2:AL$5021))</f>
        <v>0</v>
      </c>
      <c r="AD44" s="104" cm="1">
        <f t="array" ref="AD44">SUMPRODUCT(('Projects Overview'!$B$2:$B$5021="Riser Joint - FT - H")*('Projects Overview'!$G$2:$G$5021="Forecast")*('Projects Overview'!AM$2:AM$5021))</f>
        <v>0</v>
      </c>
      <c r="AE44" s="104" cm="1">
        <f t="array" ref="AE44">SUMPRODUCT(('Projects Overview'!$B$2:$B$5021="Riser Joint - FT - H")*('Projects Overview'!$G$2:$G$5021="Forecast")*('Projects Overview'!AN$2:AN$5021))</f>
        <v>0</v>
      </c>
      <c r="AF44" s="104" cm="1">
        <f t="array" ref="AF44">SUMPRODUCT(('Projects Overview'!$B$2:$B$5021="Riser Joint - FT - H")*('Projects Overview'!$G$2:$G$5021="Forecast")*('Projects Overview'!AO$2:AO$5021))</f>
        <v>0</v>
      </c>
      <c r="AG44" s="104" cm="1">
        <f t="array" ref="AG44">SUMPRODUCT(('Projects Overview'!$B$2:$B$5021="Riser Joint - FT - H")*('Projects Overview'!$G$2:$G$5021="Forecast")*('Projects Overview'!AP$2:AP$5021))</f>
        <v>0</v>
      </c>
      <c r="AH44" s="104" cm="1">
        <f t="array" ref="AH44">SUMPRODUCT(('Projects Overview'!$B$2:$B$5021="Riser Joint - FT - H")*('Projects Overview'!$G$2:$G$5021="Forecast")*('Projects Overview'!AQ$2:AQ$5021))</f>
        <v>0</v>
      </c>
      <c r="AI44" s="104" cm="1">
        <f t="array" ref="AI44">SUMPRODUCT(('Projects Overview'!$B$2:$B$5021="Riser Joint - FT - H")*('Projects Overview'!$G$2:$G$5021="Forecast")*('Projects Overview'!AR$2:AR$5021))</f>
        <v>0</v>
      </c>
      <c r="AJ44" s="104" cm="1">
        <f t="array" ref="AJ44">SUMPRODUCT(('Projects Overview'!$B$2:$B$5021="Riser Joint - FT - H")*('Projects Overview'!$G$2:$G$5021="Forecast")*('Projects Overview'!AS$2:AS$5021))</f>
        <v>0</v>
      </c>
      <c r="AK44" s="104" cm="1">
        <f t="array" ref="AK44">SUMPRODUCT(('Projects Overview'!$B$2:$B$5021="Riser Joint - FT - H")*('Projects Overview'!$G$2:$G$5021="Forecast")*('Projects Overview'!AT$2:AT$5021))</f>
        <v>0</v>
      </c>
      <c r="AL44" s="104" cm="1">
        <f t="array" ref="AL44">SUMPRODUCT(('Projects Overview'!$B$2:$B$5021="Riser Joint - FT - H")*('Projects Overview'!$G$2:$G$5021="Forecast")*('Projects Overview'!AU$2:AU$5021))</f>
        <v>0</v>
      </c>
      <c r="AM44" s="104" cm="1">
        <f t="array" ref="AM44">SUMPRODUCT(('Projects Overview'!$B$2:$B$5021="Riser Joint - FT - H")*('Projects Overview'!$G$2:$G$5021="Forecast")*('Projects Overview'!AV$2:AV$5021))</f>
        <v>0</v>
      </c>
      <c r="AN44" s="9"/>
      <c r="AO44" s="89" t="s">
        <v>372</v>
      </c>
      <c r="AP44" s="121">
        <v>28597.333333333299</v>
      </c>
      <c r="AQ44" s="130">
        <v>21294.666666666664</v>
      </c>
      <c r="AR44" s="131">
        <v>5727</v>
      </c>
      <c r="AS44" s="131">
        <v>25058</v>
      </c>
      <c r="AT44" s="139">
        <v>30886.6</v>
      </c>
      <c r="AU44" s="130">
        <v>29803.599999999999</v>
      </c>
      <c r="AV44" s="131">
        <v>8602</v>
      </c>
      <c r="AW44" s="131">
        <v>10677</v>
      </c>
      <c r="AX44" s="132">
        <v>14615</v>
      </c>
      <c r="AY44" s="130">
        <v>8227.8000000000011</v>
      </c>
      <c r="AZ44" s="131">
        <v>7865.2000000000007</v>
      </c>
      <c r="BA44" s="131">
        <v>9091.7999999999993</v>
      </c>
      <c r="BB44" s="132">
        <v>13062</v>
      </c>
      <c r="BE44" s="160"/>
    </row>
    <row r="45" spans="1:63" ht="16" customHeight="1" thickBot="1" x14ac:dyDescent="0.4">
      <c r="A45" s="222"/>
      <c r="B45" s="224" t="s">
        <v>373</v>
      </c>
      <c r="C45" s="1" t="s">
        <v>4</v>
      </c>
      <c r="D45" s="104">
        <v>6150</v>
      </c>
      <c r="E45" s="104">
        <v>9430</v>
      </c>
      <c r="F45" s="104">
        <v>2200</v>
      </c>
      <c r="G45" s="104">
        <v>1980</v>
      </c>
      <c r="H45" s="104">
        <v>0</v>
      </c>
      <c r="I45" s="104" cm="1">
        <f t="array" ref="I45">SUMPRODUCT(('Projects Overview'!$B$2:$B$5021="Riser Joint - QTR-3500")*('Projects Overview'!$G$2:$G$5021="Firm")*('Projects Overview'!R$2:R$5021))</f>
        <v>880</v>
      </c>
      <c r="J45" s="104" cm="1">
        <f t="array" ref="J45">SUMPRODUCT(('Projects Overview'!$B$2:$B$5021="Riser Joint - QTR-3500")*('Projects Overview'!$G$2:$G$5021="Firm")*('Projects Overview'!S$2:S$5021))</f>
        <v>2730</v>
      </c>
      <c r="K45" s="104" cm="1">
        <f t="array" ref="K45">SUMPRODUCT(('Projects Overview'!$B$2:$B$5021="Riser Joint - QTR-3500")*('Projects Overview'!$G$2:$G$5021="Firm")*('Projects Overview'!T$2:T$5021))</f>
        <v>4400</v>
      </c>
      <c r="L45" s="104" cm="1">
        <f t="array" ref="L45">SUMPRODUCT(('Projects Overview'!$B$2:$B$5021="Riser Joint - QTR-3500")*('Projects Overview'!$G$2:$G$5021="Firm")*('Projects Overview'!U$2:U$5021))</f>
        <v>9690</v>
      </c>
      <c r="M45" s="104" cm="1">
        <f t="array" ref="M45">SUMPRODUCT(('Projects Overview'!$B$2:$B$5021="Riser Joint - QTR-3500")*('Projects Overview'!$G$2:$G$5021="Firm")*('Projects Overview'!V$2:V$5021))</f>
        <v>2050</v>
      </c>
      <c r="N45" s="104" cm="1">
        <f t="array" ref="N45">SUMPRODUCT(('Projects Overview'!$B$2:$B$5021="Riser Joint - QTR-3500")*('Projects Overview'!$G$2:$G$5021="Firm")*('Projects Overview'!W$2:W$5021))</f>
        <v>4020</v>
      </c>
      <c r="O45" s="104" cm="1">
        <f t="array" ref="O45">SUMPRODUCT(('Projects Overview'!$B$2:$B$5021="Riser Joint - QTR-3500")*('Projects Overview'!$G$2:$G$5021="Firm")*('Projects Overview'!X$2:X$5021))</f>
        <v>180</v>
      </c>
      <c r="P45" s="104" cm="1">
        <f t="array" ref="P45">SUMPRODUCT(('Projects Overview'!$B$2:$B$5021="Riser Joint - QTR-3500")*('Projects Overview'!$G$2:$G$5021="Firm")*('Projects Overview'!Y$2:Y$5021))</f>
        <v>3216</v>
      </c>
      <c r="Q45" s="104" cm="1">
        <f t="array" ref="Q45">SUMPRODUCT(('Projects Overview'!$B$2:$B$5021="Riser Joint - QTR-3500")*('Projects Overview'!$G$2:$G$5021="Firm")*('Projects Overview'!Z$2:Z$5021))</f>
        <v>2673</v>
      </c>
      <c r="R45" s="104" cm="1">
        <f t="array" ref="R45">SUMPRODUCT(('Projects Overview'!$B$2:$B$5021="Riser Joint - QTR-3500")*('Projects Overview'!$G$2:$G$5021="Firm")*('Projects Overview'!AA$2:AA$5021))</f>
        <v>2673</v>
      </c>
      <c r="S45" s="104" cm="1">
        <f t="array" ref="S45">SUMPRODUCT(('Projects Overview'!$B$2:$B$5021="Riser Joint - QTR-3500")*('Projects Overview'!$G$2:$G$5021="Firm")*('Projects Overview'!AB$2:AB$5021))</f>
        <v>3597</v>
      </c>
      <c r="T45" s="104" cm="1">
        <f t="array" ref="T45">SUMPRODUCT(('Projects Overview'!$B$2:$B$5021="Riser Joint - QTR-3500")*('Projects Overview'!$G$2:$G$5021="Firm")*('Projects Overview'!AC$2:AC$5021))</f>
        <v>0</v>
      </c>
      <c r="U45" s="104" cm="1">
        <f t="array" ref="U45">SUMPRODUCT(('Projects Overview'!$B$2:$B$5021="Riser Joint - QTR-3500")*('Projects Overview'!$G$2:$G$5021="Firm")*('Projects Overview'!AD$2:AD$5021))</f>
        <v>3069</v>
      </c>
      <c r="V45" s="104" cm="1">
        <f t="array" ref="V45">SUMPRODUCT(('Projects Overview'!$B$2:$B$5021="Riser Joint - QTR-3500")*('Projects Overview'!$G$2:$G$5021="Firm")*('Projects Overview'!AE$2:AE$5021))</f>
        <v>0</v>
      </c>
      <c r="W45" s="104" cm="1">
        <f t="array" ref="W45">SUMPRODUCT(('Projects Overview'!$B$2:$B$5021="Riser Joint - QTR-3500")*('Projects Overview'!$G$2:$G$5021="Firm")*('Projects Overview'!AF$2:AF$5021))</f>
        <v>0</v>
      </c>
      <c r="X45" s="104" cm="1">
        <f t="array" ref="X45">SUMPRODUCT(('Projects Overview'!$B$2:$B$5021="Riser Joint - QTR-3500")*('Projects Overview'!$G$2:$G$5021="Firm")*('Projects Overview'!AG$2:AG$5021))</f>
        <v>2277</v>
      </c>
      <c r="Y45" s="104" cm="1">
        <f t="array" ref="Y45">SUMPRODUCT(('Projects Overview'!$B$2:$B$5021="Riser Joint - QTR-3500")*('Projects Overview'!$G$2:$G$5021="Firm")*('Projects Overview'!AH$2:AH$5021))</f>
        <v>4950</v>
      </c>
      <c r="Z45" s="104" cm="1">
        <f t="array" ref="Z45">SUMPRODUCT(('Projects Overview'!$B$2:$B$5021="Riser Joint - QTR-3500")*('Projects Overview'!$G$2:$G$5021="Firm")*('Projects Overview'!AI$2:AI$5021))</f>
        <v>429</v>
      </c>
      <c r="AA45" s="104" cm="1">
        <f t="array" ref="AA45">SUMPRODUCT(('Projects Overview'!$B$2:$B$5021="Riser Joint - QTR-3500")*('Projects Overview'!$G$2:$G$5021="Firm")*('Projects Overview'!AJ$2:AJ$5021))</f>
        <v>858</v>
      </c>
      <c r="AB45" s="104" cm="1">
        <f t="array" ref="AB45">SUMPRODUCT(('Projects Overview'!$B$2:$B$5021="Riser Joint - QTR-3500")*('Projects Overview'!$G$2:$G$5021="Firm")*('Projects Overview'!AK$2:AK$5021))</f>
        <v>0</v>
      </c>
      <c r="AC45" s="104" cm="1">
        <f t="array" ref="AC45">SUMPRODUCT(('Projects Overview'!$B$2:$B$5021="Riser Joint - QTR-3500")*('Projects Overview'!$G$2:$G$5021="Firm")*('Projects Overview'!AL$2:AL$5021))</f>
        <v>0</v>
      </c>
      <c r="AD45" s="104" cm="1">
        <f t="array" ref="AD45">SUMPRODUCT(('Projects Overview'!$B$2:$B$5021="Riser Joint - QTR-3500")*('Projects Overview'!$G$2:$G$5021="Firm")*('Projects Overview'!AM$2:AM$5021))</f>
        <v>0</v>
      </c>
      <c r="AE45" s="104" cm="1">
        <f t="array" ref="AE45">SUMPRODUCT(('Projects Overview'!$B$2:$B$5021="Riser Joint - QTR-3500")*('Projects Overview'!$G$2:$G$5021="Firm")*('Projects Overview'!AN$2:AN$5021))</f>
        <v>0</v>
      </c>
      <c r="AF45" s="104" cm="1">
        <f t="array" ref="AF45">SUMPRODUCT(('Projects Overview'!$B$2:$B$5021="Riser Joint - QTR-3500")*('Projects Overview'!$G$2:$G$5021="Firm")*('Projects Overview'!AO$2:AO$5021))</f>
        <v>0</v>
      </c>
      <c r="AG45" s="104" cm="1">
        <f t="array" ref="AG45">SUMPRODUCT(('Projects Overview'!$B$2:$B$5021="Riser Joint - QTR-3500")*('Projects Overview'!$G$2:$G$5021="Firm")*('Projects Overview'!AP$2:AP$5021))</f>
        <v>0</v>
      </c>
      <c r="AH45" s="104" cm="1">
        <f t="array" ref="AH45">SUMPRODUCT(('Projects Overview'!$B$2:$B$5021="Riser Joint - QTR-3500")*('Projects Overview'!$G$2:$G$5021="Firm")*('Projects Overview'!AQ$2:AQ$5021))</f>
        <v>0</v>
      </c>
      <c r="AI45" s="104" cm="1">
        <f t="array" ref="AI45">SUMPRODUCT(('Projects Overview'!$B$2:$B$5021="Riser Joint - QTR-3500")*('Projects Overview'!$G$2:$G$5021="Firm")*('Projects Overview'!AR$2:AR$5021))</f>
        <v>0</v>
      </c>
      <c r="AJ45" s="104" cm="1">
        <f t="array" ref="AJ45">SUMPRODUCT(('Projects Overview'!$B$2:$B$5021="Riser Joint - QTR-3500")*('Projects Overview'!$G$2:$G$5021="Firm")*('Projects Overview'!AS$2:AS$5021))</f>
        <v>0</v>
      </c>
      <c r="AK45" s="104" cm="1">
        <f t="array" ref="AK45">SUMPRODUCT(('Projects Overview'!$B$2:$B$5021="Riser Joint - QTR-3500")*('Projects Overview'!$G$2:$G$5021="Firm")*('Projects Overview'!AT$2:AT$5021))</f>
        <v>0</v>
      </c>
      <c r="AL45" s="104" cm="1">
        <f t="array" ref="AL45">SUMPRODUCT(('Projects Overview'!$B$2:$B$5021="Riser Joint - QTR-3500")*('Projects Overview'!$G$2:$G$5021="Firm")*('Projects Overview'!AU$2:AU$5021))</f>
        <v>0</v>
      </c>
      <c r="AM45" s="104" cm="1">
        <f t="array" ref="AM45">SUMPRODUCT(('Projects Overview'!$B$2:$B$5021="Riser Joint - QTR-3500")*('Projects Overview'!$G$2:$G$5021="Firm")*('Projects Overview'!AV$2:AV$5021))</f>
        <v>0</v>
      </c>
      <c r="AN45" s="9"/>
      <c r="AO45" s="89" t="s">
        <v>374</v>
      </c>
      <c r="AP45" s="125">
        <v>6500</v>
      </c>
      <c r="AQ45" s="124">
        <v>10301.933333333332</v>
      </c>
      <c r="AR45" s="122">
        <v>6668.7904761904765</v>
      </c>
      <c r="AS45" s="122">
        <v>5129.3333333333339</v>
      </c>
      <c r="AT45" s="140">
        <v>7360.3333333333339</v>
      </c>
      <c r="AU45" s="124">
        <v>4152</v>
      </c>
      <c r="AV45" s="122">
        <v>556</v>
      </c>
      <c r="AW45" s="122">
        <v>0</v>
      </c>
      <c r="AX45" s="123">
        <v>0</v>
      </c>
      <c r="AY45" s="124">
        <v>0</v>
      </c>
      <c r="AZ45" s="122">
        <v>0</v>
      </c>
      <c r="BA45" s="122">
        <v>0</v>
      </c>
      <c r="BB45" s="123">
        <v>0</v>
      </c>
      <c r="BE45" s="8"/>
      <c r="BG45" s="243"/>
      <c r="BH45" s="243"/>
      <c r="BI45" s="243"/>
      <c r="BJ45" s="243"/>
      <c r="BK45" s="243"/>
    </row>
    <row r="46" spans="1:63" ht="16" customHeight="1" thickBot="1" x14ac:dyDescent="0.4">
      <c r="A46" s="222"/>
      <c r="B46" s="225"/>
      <c r="C46" s="2" t="s">
        <v>6</v>
      </c>
      <c r="D46" s="104">
        <v>0</v>
      </c>
      <c r="E46" s="104">
        <v>0</v>
      </c>
      <c r="F46" s="104">
        <v>0</v>
      </c>
      <c r="G46" s="104">
        <v>0</v>
      </c>
      <c r="H46" s="104">
        <v>0</v>
      </c>
      <c r="I46" s="104" cm="1">
        <f t="array" ref="I46">SUMPRODUCT(('Projects Overview'!$B$2:$B$5021="Riser Joint - QTR-3500")*('Projects Overview'!$G$2:$G$5021="Risk Release")*('Projects Overview'!R$2:R$5021))</f>
        <v>0</v>
      </c>
      <c r="J46" s="104" cm="1">
        <f t="array" ref="J46">SUMPRODUCT(('Projects Overview'!$B$2:$B$5021="Riser Joint - QTR-3500")*('Projects Overview'!$G$2:$G$5021="Risk Release")*('Projects Overview'!S$2:S$5021))</f>
        <v>0</v>
      </c>
      <c r="K46" s="104" cm="1">
        <f t="array" ref="K46">SUMPRODUCT(('Projects Overview'!$B$2:$B$5021="Riser Joint - QTR-3500")*('Projects Overview'!$G$2:$G$5021="Risk Release")*('Projects Overview'!T$2:T$5021))</f>
        <v>0</v>
      </c>
      <c r="L46" s="104" cm="1">
        <f t="array" ref="L46">SUMPRODUCT(('Projects Overview'!$B$2:$B$5021="Riser Joint - QTR-3500")*('Projects Overview'!$G$2:$G$5021="Risk Release")*('Projects Overview'!U$2:U$5021))</f>
        <v>0</v>
      </c>
      <c r="M46" s="104" cm="1">
        <f t="array" ref="M46">SUMPRODUCT(('Projects Overview'!$B$2:$B$5021="Riser Joint - QTR-3500")*('Projects Overview'!$G$2:$G$5021="Risk Release")*('Projects Overview'!V$2:V$5021))</f>
        <v>0</v>
      </c>
      <c r="N46" s="104" cm="1">
        <f t="array" ref="N46">SUMPRODUCT(('Projects Overview'!$B$2:$B$5021="Riser Joint - QTR-3500")*('Projects Overview'!$G$2:$G$5021="Risk Release")*('Projects Overview'!W$2:W$5021))</f>
        <v>0</v>
      </c>
      <c r="O46" s="104" cm="1">
        <f t="array" ref="O46">SUMPRODUCT(('Projects Overview'!$B$2:$B$5021="Riser Joint - QTR-3500")*('Projects Overview'!$G$2:$G$5021="Risk Release")*('Projects Overview'!X$2:X$5021))</f>
        <v>0</v>
      </c>
      <c r="P46" s="104" cm="1">
        <f t="array" ref="P46">SUMPRODUCT(('Projects Overview'!$B$2:$B$5021="Riser Joint - QTR-3500")*('Projects Overview'!$G$2:$G$5021="Risk Release")*('Projects Overview'!Y$2:Y$5021))</f>
        <v>0</v>
      </c>
      <c r="Q46" s="104" cm="1">
        <f t="array" ref="Q46">SUMPRODUCT(('Projects Overview'!$B$2:$B$5021="Riser Joint - QTR-3500")*('Projects Overview'!$G$2:$G$5021="Risk Release")*('Projects Overview'!Z$2:Z$5021))</f>
        <v>0</v>
      </c>
      <c r="R46" s="104" cm="1">
        <f t="array" ref="R46">SUMPRODUCT(('Projects Overview'!$B$2:$B$5021="Riser Joint - QTR-3500")*('Projects Overview'!$G$2:$G$5021="Risk Release")*('Projects Overview'!AA$2:AA$5021))</f>
        <v>0</v>
      </c>
      <c r="S46" s="104" cm="1">
        <f t="array" ref="S46">SUMPRODUCT(('Projects Overview'!$B$2:$B$5021="Riser Joint - QTR-3500")*('Projects Overview'!$G$2:$G$5021="Risk Release")*('Projects Overview'!AB$2:AB$5021))</f>
        <v>0</v>
      </c>
      <c r="T46" s="104" cm="1">
        <f t="array" ref="T46">SUMPRODUCT(('Projects Overview'!$B$2:$B$5021="Riser Joint - QTR-3500")*('Projects Overview'!$G$2:$G$5021="Risk Release")*('Projects Overview'!AC$2:AC$5021))</f>
        <v>0</v>
      </c>
      <c r="U46" s="104" cm="1">
        <f t="array" ref="U46">SUMPRODUCT(('Projects Overview'!$B$2:$B$5021="Riser Joint - QTR-3500")*('Projects Overview'!$G$2:$G$5021="Risk Release")*('Projects Overview'!AD$2:AD$5021))</f>
        <v>0</v>
      </c>
      <c r="V46" s="104" cm="1">
        <f t="array" ref="V46">SUMPRODUCT(('Projects Overview'!$B$2:$B$5021="Riser Joint - QTR-3500")*('Projects Overview'!$G$2:$G$5021="Risk Release")*('Projects Overview'!AE$2:AE$5021))</f>
        <v>0</v>
      </c>
      <c r="W46" s="104" cm="1">
        <f t="array" ref="W46">SUMPRODUCT(('Projects Overview'!$B$2:$B$5021="Riser Joint - QTR-3500")*('Projects Overview'!$G$2:$G$5021="Risk Release")*('Projects Overview'!AF$2:AF$5021))</f>
        <v>0</v>
      </c>
      <c r="X46" s="104" cm="1">
        <f t="array" ref="X46">SUMPRODUCT(('Projects Overview'!$B$2:$B$5021="Riser Joint - QTR-3500")*('Projects Overview'!$G$2:$G$5021="Risk Release")*('Projects Overview'!AG$2:AG$5021))</f>
        <v>0</v>
      </c>
      <c r="Y46" s="104" cm="1">
        <f t="array" ref="Y46">SUMPRODUCT(('Projects Overview'!$B$2:$B$5021="Riser Joint - QTR-3500")*('Projects Overview'!$G$2:$G$5021="Risk Release")*('Projects Overview'!AH$2:AH$5021))</f>
        <v>0</v>
      </c>
      <c r="Z46" s="104" cm="1">
        <f t="array" ref="Z46">SUMPRODUCT(('Projects Overview'!$B$2:$B$5021="Riser Joint - QTR-3500")*('Projects Overview'!$G$2:$G$5021="Risk Release")*('Projects Overview'!AI$2:AI$5021))</f>
        <v>0</v>
      </c>
      <c r="AA46" s="104" cm="1">
        <f t="array" ref="AA46">SUMPRODUCT(('Projects Overview'!$B$2:$B$5021="Riser Joint - QTR-3500")*('Projects Overview'!$G$2:$G$5021="Risk Release")*('Projects Overview'!AJ$2:AJ$5021))</f>
        <v>0</v>
      </c>
      <c r="AB46" s="104" cm="1">
        <f t="array" ref="AB46">SUMPRODUCT(('Projects Overview'!$B$2:$B$5021="Riser Joint - QTR-3500")*('Projects Overview'!$G$2:$G$5021="Risk Release")*('Projects Overview'!AK$2:AK$5021))</f>
        <v>0</v>
      </c>
      <c r="AC46" s="104" cm="1">
        <f t="array" ref="AC46">SUMPRODUCT(('Projects Overview'!$B$2:$B$5021="Riser Joint - QTR-3500")*('Projects Overview'!$G$2:$G$5021="Risk Release")*('Projects Overview'!AL$2:AL$5021))</f>
        <v>0</v>
      </c>
      <c r="AD46" s="104" cm="1">
        <f t="array" ref="AD46">SUMPRODUCT(('Projects Overview'!$B$2:$B$5021="Riser Joint - QTR-3500")*('Projects Overview'!$G$2:$G$5021="Risk Release")*('Projects Overview'!AM$2:AM$5021))</f>
        <v>0</v>
      </c>
      <c r="AE46" s="104" cm="1">
        <f t="array" ref="AE46">SUMPRODUCT(('Projects Overview'!$B$2:$B$5021="Riser Joint - QTR-3500")*('Projects Overview'!$G$2:$G$5021="Risk Release")*('Projects Overview'!AN$2:AN$5021))</f>
        <v>0</v>
      </c>
      <c r="AF46" s="104" cm="1">
        <f t="array" ref="AF46">SUMPRODUCT(('Projects Overview'!$B$2:$B$5021="Riser Joint - QTR-3500")*('Projects Overview'!$G$2:$G$5021="Risk Release")*('Projects Overview'!AO$2:AO$5021))</f>
        <v>0</v>
      </c>
      <c r="AG46" s="104" cm="1">
        <f t="array" ref="AG46">SUMPRODUCT(('Projects Overview'!$B$2:$B$5021="Riser Joint - QTR-3500")*('Projects Overview'!$G$2:$G$5021="Risk Release")*('Projects Overview'!AP$2:AP$5021))</f>
        <v>0</v>
      </c>
      <c r="AH46" s="104" cm="1">
        <f t="array" ref="AH46">SUMPRODUCT(('Projects Overview'!$B$2:$B$5021="Riser Joint - QTR-3500")*('Projects Overview'!$G$2:$G$5021="Risk Release")*('Projects Overview'!AQ$2:AQ$5021))</f>
        <v>0</v>
      </c>
      <c r="AI46" s="104" cm="1">
        <f t="array" ref="AI46">SUMPRODUCT(('Projects Overview'!$B$2:$B$5021="Riser Joint - QTR-3500")*('Projects Overview'!$G$2:$G$5021="Risk Release")*('Projects Overview'!AR$2:AR$5021))</f>
        <v>0</v>
      </c>
      <c r="AJ46" s="104" cm="1">
        <f t="array" ref="AJ46">SUMPRODUCT(('Projects Overview'!$B$2:$B$5021="Riser Joint - QTR-3500")*('Projects Overview'!$G$2:$G$5021="Risk Release")*('Projects Overview'!AS$2:AS$5021))</f>
        <v>0</v>
      </c>
      <c r="AK46" s="104" cm="1">
        <f t="array" ref="AK46">SUMPRODUCT(('Projects Overview'!$B$2:$B$5021="Riser Joint - QTR-3500")*('Projects Overview'!$G$2:$G$5021="Risk Release")*('Projects Overview'!AT$2:AT$5021))</f>
        <v>0</v>
      </c>
      <c r="AL46" s="104" cm="1">
        <f t="array" ref="AL46">SUMPRODUCT(('Projects Overview'!$B$2:$B$5021="Riser Joint - QTR-3500")*('Projects Overview'!$G$2:$G$5021="Risk Release")*('Projects Overview'!AU$2:AU$5021))</f>
        <v>0</v>
      </c>
      <c r="AM46" s="104" cm="1">
        <f t="array" ref="AM46">SUMPRODUCT(('Projects Overview'!$B$2:$B$5021="Riser Joint - QTR-3500")*('Projects Overview'!$G$2:$G$5021="Risk Release")*('Projects Overview'!AV$2:AV$5021))</f>
        <v>0</v>
      </c>
      <c r="AN46" s="9"/>
      <c r="AO46" s="89" t="s">
        <v>375</v>
      </c>
      <c r="AP46" s="125">
        <v>1807</v>
      </c>
      <c r="AQ46" s="124">
        <v>7998.8476190476176</v>
      </c>
      <c r="AR46" s="122">
        <v>5622.3428571428567</v>
      </c>
      <c r="AS46" s="122">
        <v>7135.2380952380945</v>
      </c>
      <c r="AT46" s="140">
        <v>3171.166666666667</v>
      </c>
      <c r="AU46" s="124">
        <v>3268</v>
      </c>
      <c r="AV46" s="122">
        <v>586</v>
      </c>
      <c r="AW46" s="122">
        <v>0</v>
      </c>
      <c r="AX46" s="123">
        <v>0</v>
      </c>
      <c r="AY46" s="124">
        <v>0</v>
      </c>
      <c r="AZ46" s="122">
        <v>0</v>
      </c>
      <c r="BA46" s="122">
        <v>0</v>
      </c>
      <c r="BB46" s="123">
        <v>0</v>
      </c>
      <c r="BE46" s="160"/>
      <c r="BG46" s="164"/>
      <c r="BH46" s="8"/>
      <c r="BI46" s="8"/>
      <c r="BJ46" s="8"/>
      <c r="BK46" s="8"/>
    </row>
    <row r="47" spans="1:63" ht="16" customHeight="1" thickBot="1" x14ac:dyDescent="0.4">
      <c r="A47" s="222"/>
      <c r="B47" s="226"/>
      <c r="C47" s="3" t="s">
        <v>8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 cm="1">
        <f t="array" ref="I47">SUMPRODUCT(('Projects Overview'!$B$2:$B$5021="Riser Joint - QTR-3500")*('Projects Overview'!$G$2:$G$5021="Forecast")*('Projects Overview'!R$2:R$5021))</f>
        <v>0</v>
      </c>
      <c r="J47" s="104" cm="1">
        <f t="array" ref="J47">SUMPRODUCT(('Projects Overview'!$B$2:$B$5021="Riser Joint - QTR-3500")*('Projects Overview'!$G$2:$G$5021="Forecast")*('Projects Overview'!S$2:S$5021))</f>
        <v>0</v>
      </c>
      <c r="K47" s="104" cm="1">
        <f t="array" ref="K47">SUMPRODUCT(('Projects Overview'!$B$2:$B$5021="Riser Joint - QTR-3500")*('Projects Overview'!$G$2:$G$5021="Forecast")*('Projects Overview'!T$2:T$5021))</f>
        <v>0</v>
      </c>
      <c r="L47" s="104" cm="1">
        <f t="array" ref="L47">SUMPRODUCT(('Projects Overview'!$B$2:$B$5021="Riser Joint - QTR-3500")*('Projects Overview'!$G$2:$G$5021="Forecast")*('Projects Overview'!U$2:U$5021))</f>
        <v>0</v>
      </c>
      <c r="M47" s="104" cm="1">
        <f t="array" ref="M47">SUMPRODUCT(('Projects Overview'!$B$2:$B$5021="Riser Joint - QTR-3500")*('Projects Overview'!$G$2:$G$5021="Forecast")*('Projects Overview'!V$2:V$5021))</f>
        <v>0</v>
      </c>
      <c r="N47" s="104" cm="1">
        <f t="array" ref="N47">SUMPRODUCT(('Projects Overview'!$B$2:$B$5021="Riser Joint - QTR-3500")*('Projects Overview'!$G$2:$G$5021="Forecast")*('Projects Overview'!W$2:W$5021))</f>
        <v>0</v>
      </c>
      <c r="O47" s="104" cm="1">
        <f t="array" ref="O47">SUMPRODUCT(('Projects Overview'!$B$2:$B$5021="Riser Joint - QTR-3500")*('Projects Overview'!$G$2:$G$5021="Forecast")*('Projects Overview'!X$2:X$5021))</f>
        <v>0</v>
      </c>
      <c r="P47" s="104" cm="1">
        <f t="array" ref="P47">SUMPRODUCT(('Projects Overview'!$B$2:$B$5021="Riser Joint - QTR-3500")*('Projects Overview'!$G$2:$G$5021="Forecast")*('Projects Overview'!Y$2:Y$5021))</f>
        <v>0</v>
      </c>
      <c r="Q47" s="104" cm="1">
        <f t="array" ref="Q47">SUMPRODUCT(('Projects Overview'!$B$2:$B$5021="Riser Joint - QTR-3500")*('Projects Overview'!$G$2:$G$5021="Forecast")*('Projects Overview'!Z$2:Z$5021))</f>
        <v>0</v>
      </c>
      <c r="R47" s="104" cm="1">
        <f t="array" ref="R47">SUMPRODUCT(('Projects Overview'!$B$2:$B$5021="Riser Joint - QTR-3500")*('Projects Overview'!$G$2:$G$5021="Forecast")*('Projects Overview'!AA$2:AA$5021))</f>
        <v>0</v>
      </c>
      <c r="S47" s="104" cm="1">
        <f t="array" ref="S47">SUMPRODUCT(('Projects Overview'!$B$2:$B$5021="Riser Joint - QTR-3500")*('Projects Overview'!$G$2:$G$5021="Forecast")*('Projects Overview'!AB$2:AB$5021))</f>
        <v>0</v>
      </c>
      <c r="T47" s="104" cm="1">
        <f t="array" ref="T47">SUMPRODUCT(('Projects Overview'!$B$2:$B$5021="Riser Joint - QTR-3500")*('Projects Overview'!$G$2:$G$5021="Forecast")*('Projects Overview'!AC$2:AC$5021))</f>
        <v>0</v>
      </c>
      <c r="U47" s="104" cm="1">
        <f t="array" ref="U47">SUMPRODUCT(('Projects Overview'!$B$2:$B$5021="Riser Joint - QTR-3500")*('Projects Overview'!$G$2:$G$5021="Forecast")*('Projects Overview'!AD$2:AD$5021))</f>
        <v>0</v>
      </c>
      <c r="V47" s="104" cm="1">
        <f t="array" ref="V47">SUMPRODUCT(('Projects Overview'!$B$2:$B$5021="Riser Joint - QTR-3500")*('Projects Overview'!$G$2:$G$5021="Forecast")*('Projects Overview'!AE$2:AE$5021))</f>
        <v>0</v>
      </c>
      <c r="W47" s="104" cm="1">
        <f t="array" ref="W47">SUMPRODUCT(('Projects Overview'!$B$2:$B$5021="Riser Joint - QTR-3500")*('Projects Overview'!$G$2:$G$5021="Forecast")*('Projects Overview'!AF$2:AF$5021))</f>
        <v>0</v>
      </c>
      <c r="X47" s="104" cm="1">
        <f t="array" ref="X47">SUMPRODUCT(('Projects Overview'!$B$2:$B$5021="Riser Joint - QTR-3500")*('Projects Overview'!$G$2:$G$5021="Forecast")*('Projects Overview'!AG$2:AG$5021))</f>
        <v>0</v>
      </c>
      <c r="Y47" s="104" cm="1">
        <f t="array" ref="Y47">SUMPRODUCT(('Projects Overview'!$B$2:$B$5021="Riser Joint - QTR-3500")*('Projects Overview'!$G$2:$G$5021="Forecast")*('Projects Overview'!AH$2:AH$5021))</f>
        <v>0</v>
      </c>
      <c r="Z47" s="104" cm="1">
        <f t="array" ref="Z47">SUMPRODUCT(('Projects Overview'!$B$2:$B$5021="Riser Joint - QTR-3500")*('Projects Overview'!$G$2:$G$5021="Forecast")*('Projects Overview'!AI$2:AI$5021))</f>
        <v>0</v>
      </c>
      <c r="AA47" s="104" cm="1">
        <f t="array" ref="AA47">SUMPRODUCT(('Projects Overview'!$B$2:$B$5021="Riser Joint - QTR-3500")*('Projects Overview'!$G$2:$G$5021="Forecast")*('Projects Overview'!AJ$2:AJ$5021))</f>
        <v>0</v>
      </c>
      <c r="AB47" s="104" cm="1">
        <f t="array" ref="AB47">SUMPRODUCT(('Projects Overview'!$B$2:$B$5021="Riser Joint - QTR-3500")*('Projects Overview'!$G$2:$G$5021="Forecast")*('Projects Overview'!AK$2:AK$5021))</f>
        <v>0</v>
      </c>
      <c r="AC47" s="104" cm="1">
        <f t="array" ref="AC47">SUMPRODUCT(('Projects Overview'!$B$2:$B$5021="Riser Joint - QTR-3500")*('Projects Overview'!$G$2:$G$5021="Forecast")*('Projects Overview'!AL$2:AL$5021))</f>
        <v>0</v>
      </c>
      <c r="AD47" s="104" cm="1">
        <f t="array" ref="AD47">SUMPRODUCT(('Projects Overview'!$B$2:$B$5021="Riser Joint - QTR-3500")*('Projects Overview'!$G$2:$G$5021="Forecast")*('Projects Overview'!AM$2:AM$5021))</f>
        <v>0</v>
      </c>
      <c r="AE47" s="104" cm="1">
        <f t="array" ref="AE47">SUMPRODUCT(('Projects Overview'!$B$2:$B$5021="Riser Joint - QTR-3500")*('Projects Overview'!$G$2:$G$5021="Forecast")*('Projects Overview'!AN$2:AN$5021))</f>
        <v>0</v>
      </c>
      <c r="AF47" s="104" cm="1">
        <f t="array" ref="AF47">SUMPRODUCT(('Projects Overview'!$B$2:$B$5021="Riser Joint - QTR-3500")*('Projects Overview'!$G$2:$G$5021="Forecast")*('Projects Overview'!AO$2:AO$5021))</f>
        <v>0</v>
      </c>
      <c r="AG47" s="104" cm="1">
        <f t="array" ref="AG47">SUMPRODUCT(('Projects Overview'!$B$2:$B$5021="Riser Joint - QTR-3500")*('Projects Overview'!$G$2:$G$5021="Forecast")*('Projects Overview'!AP$2:AP$5021))</f>
        <v>0</v>
      </c>
      <c r="AH47" s="104" cm="1">
        <f t="array" ref="AH47">SUMPRODUCT(('Projects Overview'!$B$2:$B$5021="Riser Joint - QTR-3500")*('Projects Overview'!$G$2:$G$5021="Forecast")*('Projects Overview'!AQ$2:AQ$5021))</f>
        <v>0</v>
      </c>
      <c r="AI47" s="104" cm="1">
        <f t="array" ref="AI47">SUMPRODUCT(('Projects Overview'!$B$2:$B$5021="Riser Joint - QTR-3500")*('Projects Overview'!$G$2:$G$5021="Forecast")*('Projects Overview'!AR$2:AR$5021))</f>
        <v>0</v>
      </c>
      <c r="AJ47" s="104" cm="1">
        <f t="array" ref="AJ47">SUMPRODUCT(('Projects Overview'!$B$2:$B$5021="Riser Joint - QTR-3500")*('Projects Overview'!$G$2:$G$5021="Forecast")*('Projects Overview'!AS$2:AS$5021))</f>
        <v>0</v>
      </c>
      <c r="AK47" s="104" cm="1">
        <f t="array" ref="AK47">SUMPRODUCT(('Projects Overview'!$B$2:$B$5021="Riser Joint - QTR-3500")*('Projects Overview'!$G$2:$G$5021="Forecast")*('Projects Overview'!AT$2:AT$5021))</f>
        <v>0</v>
      </c>
      <c r="AL47" s="104" cm="1">
        <f t="array" ref="AL47">SUMPRODUCT(('Projects Overview'!$B$2:$B$5021="Riser Joint - QTR-3500")*('Projects Overview'!$G$2:$G$5021="Forecast")*('Projects Overview'!AU$2:AU$5021))</f>
        <v>0</v>
      </c>
      <c r="AM47" s="104" cm="1">
        <f t="array" ref="AM47">SUMPRODUCT(('Projects Overview'!$B$2:$B$5021="Riser Joint - QTR-3500")*('Projects Overview'!$G$2:$G$5021="Forecast")*('Projects Overview'!AV$2:AV$5021))</f>
        <v>0</v>
      </c>
      <c r="AN47" s="9"/>
      <c r="AO47" s="89" t="s">
        <v>376</v>
      </c>
      <c r="AP47" s="125">
        <v>1700</v>
      </c>
      <c r="AQ47" s="124">
        <v>1540</v>
      </c>
      <c r="AR47" s="122">
        <v>2620</v>
      </c>
      <c r="AS47" s="122">
        <v>2604</v>
      </c>
      <c r="AT47" s="140">
        <v>1310</v>
      </c>
      <c r="AU47" s="124">
        <v>1140</v>
      </c>
      <c r="AV47" s="122">
        <v>260</v>
      </c>
      <c r="AW47" s="122">
        <v>0</v>
      </c>
      <c r="AX47" s="123">
        <v>0</v>
      </c>
      <c r="AY47" s="124">
        <v>0</v>
      </c>
      <c r="AZ47" s="122">
        <v>0</v>
      </c>
      <c r="BA47" s="122">
        <v>0</v>
      </c>
      <c r="BB47" s="123">
        <v>0</v>
      </c>
      <c r="BE47" s="161"/>
      <c r="BG47" s="164"/>
      <c r="BH47" s="8"/>
      <c r="BI47" s="8"/>
      <c r="BJ47" s="8"/>
      <c r="BK47" s="8"/>
    </row>
    <row r="48" spans="1:63" ht="16" customHeight="1" thickBot="1" x14ac:dyDescent="0.4">
      <c r="A48" s="222"/>
      <c r="B48" s="224" t="s">
        <v>377</v>
      </c>
      <c r="C48" s="1" t="s">
        <v>4</v>
      </c>
      <c r="D48" s="104">
        <v>2490.6666666666665</v>
      </c>
      <c r="E48" s="104">
        <v>1024</v>
      </c>
      <c r="F48" s="104">
        <v>0</v>
      </c>
      <c r="G48" s="104">
        <v>0</v>
      </c>
      <c r="H48" s="104">
        <v>0</v>
      </c>
      <c r="I48" s="104" cm="1">
        <f t="array" ref="I48">SUMPRODUCT(('Projects Overview'!$B$2:$B$5021="Riser Joint - LK - 3.5")*('Projects Overview'!$G$2:$G$5021="Firm")*('Projects Overview'!R$2:R$5021))</f>
        <v>0</v>
      </c>
      <c r="J48" s="104" cm="1">
        <f t="array" ref="J48">SUMPRODUCT(('Projects Overview'!$B$2:$B$5021="Riser Joint - LK - 3.5")*('Projects Overview'!$G$2:$G$5021="Firm")*('Projects Overview'!S$2:S$5021))</f>
        <v>100</v>
      </c>
      <c r="K48" s="104" cm="1">
        <f t="array" ref="K48">SUMPRODUCT(('Projects Overview'!$B$2:$B$5021="Riser Joint - LK - 3.5")*('Projects Overview'!$G$2:$G$5021="Firm")*('Projects Overview'!T$2:T$5021))</f>
        <v>0</v>
      </c>
      <c r="L48" s="104" cm="1">
        <f t="array" ref="L48">SUMPRODUCT(('Projects Overview'!$B$2:$B$5021="Riser Joint - LK - 3.5")*('Projects Overview'!$G$2:$G$5021="Firm")*('Projects Overview'!U$2:U$5021))</f>
        <v>510</v>
      </c>
      <c r="M48" s="104" cm="1">
        <f t="array" ref="M48">SUMPRODUCT(('Projects Overview'!$B$2:$B$5021="Riser Joint - LK - 3.5")*('Projects Overview'!$G$2:$G$5021="Firm")*('Projects Overview'!V$2:V$5021))</f>
        <v>510</v>
      </c>
      <c r="N48" s="104" cm="1">
        <f t="array" ref="N48">SUMPRODUCT(('Projects Overview'!$B$2:$B$5021="Riser Joint - LK - 3.5")*('Projects Overview'!$G$2:$G$5021="Firm")*('Projects Overview'!W$2:W$5021))</f>
        <v>240</v>
      </c>
      <c r="O48" s="104" cm="1">
        <f t="array" ref="O48">SUMPRODUCT(('Projects Overview'!$B$2:$B$5021="Riser Joint - LK - 3.5")*('Projects Overview'!$G$2:$G$5021="Firm")*('Projects Overview'!X$2:X$5021))</f>
        <v>60</v>
      </c>
      <c r="P48" s="104" cm="1">
        <f t="array" ref="P48">SUMPRODUCT(('Projects Overview'!$B$2:$B$5021="Riser Joint - LK - 3.5")*('Projects Overview'!$G$2:$G$5021="Firm")*('Projects Overview'!Y$2:Y$5021))</f>
        <v>0</v>
      </c>
      <c r="Q48" s="104" cm="1">
        <f t="array" ref="Q48">SUMPRODUCT(('Projects Overview'!$B$2:$B$5021="Riser Joint - LK - 3.5")*('Projects Overview'!$G$2:$G$5021="Firm")*('Projects Overview'!Z$2:Z$5021))</f>
        <v>0</v>
      </c>
      <c r="R48" s="104" cm="1">
        <f t="array" ref="R48">SUMPRODUCT(('Projects Overview'!$B$2:$B$5021="Riser Joint - LK - 3.5")*('Projects Overview'!$G$2:$G$5021="Firm")*('Projects Overview'!AA$2:AA$5021))</f>
        <v>180</v>
      </c>
      <c r="S48" s="104" cm="1">
        <f t="array" ref="S48">SUMPRODUCT(('Projects Overview'!$B$2:$B$5021="Riser Joint - LK - 3.5")*('Projects Overview'!$G$2:$G$5021="Firm")*('Projects Overview'!AB$2:AB$5021))</f>
        <v>0</v>
      </c>
      <c r="T48" s="104" cm="1">
        <f t="array" ref="T48">SUMPRODUCT(('Projects Overview'!$B$2:$B$5021="Riser Joint - LK - 3.5")*('Projects Overview'!$G$2:$G$5021="Firm")*('Projects Overview'!AC$2:AC$5021))</f>
        <v>0</v>
      </c>
      <c r="U48" s="104" cm="1">
        <f t="array" ref="U48">SUMPRODUCT(('Projects Overview'!$B$2:$B$5021="Riser Joint - LK - 3.5")*('Projects Overview'!$G$2:$G$5021="Firm")*('Projects Overview'!AD$2:AD$5021))</f>
        <v>0</v>
      </c>
      <c r="V48" s="104" cm="1">
        <f t="array" ref="V48">SUMPRODUCT(('Projects Overview'!$B$2:$B$5021="Riser Joint - LK - 3.5")*('Projects Overview'!$G$2:$G$5021="Firm")*('Projects Overview'!AE$2:AE$5021))</f>
        <v>0</v>
      </c>
      <c r="W48" s="104" cm="1">
        <f t="array" ref="W48">SUMPRODUCT(('Projects Overview'!$B$2:$B$5021="Riser Joint - LK - 3.5")*('Projects Overview'!$G$2:$G$5021="Firm")*('Projects Overview'!AF$2:AF$5021))</f>
        <v>0</v>
      </c>
      <c r="X48" s="104" cm="1">
        <f t="array" ref="X48">SUMPRODUCT(('Projects Overview'!$B$2:$B$5021="Riser Joint - LK - 3.5")*('Projects Overview'!$G$2:$G$5021="Firm")*('Projects Overview'!AG$2:AG$5021))</f>
        <v>0</v>
      </c>
      <c r="Y48" s="104" cm="1">
        <f t="array" ref="Y48">SUMPRODUCT(('Projects Overview'!$B$2:$B$5021="Riser Joint - LK - 3.5")*('Projects Overview'!$G$2:$G$5021="Firm")*('Projects Overview'!AH$2:AH$5021))</f>
        <v>0</v>
      </c>
      <c r="Z48" s="104" cm="1">
        <f t="array" ref="Z48">SUMPRODUCT(('Projects Overview'!$B$2:$B$5021="Riser Joint - LK - 3.5")*('Projects Overview'!$G$2:$G$5021="Firm")*('Projects Overview'!AI$2:AI$5021))</f>
        <v>0</v>
      </c>
      <c r="AA48" s="104" cm="1">
        <f t="array" ref="AA48">SUMPRODUCT(('Projects Overview'!$B$2:$B$5021="Riser Joint - LK - 3.5")*('Projects Overview'!$G$2:$G$5021="Firm")*('Projects Overview'!AJ$2:AJ$5021))</f>
        <v>0</v>
      </c>
      <c r="AB48" s="104" cm="1">
        <f t="array" ref="AB48">SUMPRODUCT(('Projects Overview'!$B$2:$B$5021="Riser Joint - LK - 3.5")*('Projects Overview'!$G$2:$G$5021="Firm")*('Projects Overview'!AK$2:AK$5021))</f>
        <v>0</v>
      </c>
      <c r="AC48" s="104" cm="1">
        <f t="array" ref="AC48">SUMPRODUCT(('Projects Overview'!$B$2:$B$5021="Riser Joint - LK - 3.5")*('Projects Overview'!$G$2:$G$5021="Firm")*('Projects Overview'!AL$2:AL$5021))</f>
        <v>0</v>
      </c>
      <c r="AD48" s="104" cm="1">
        <f t="array" ref="AD48">SUMPRODUCT(('Projects Overview'!$B$2:$B$5021="Riser Joint - LK - 3.5")*('Projects Overview'!$G$2:$G$5021="Firm")*('Projects Overview'!AM$2:AM$5021))</f>
        <v>0</v>
      </c>
      <c r="AE48" s="104" cm="1">
        <f t="array" ref="AE48">SUMPRODUCT(('Projects Overview'!$B$2:$B$5021="Riser Joint - LK - 3.5")*('Projects Overview'!$G$2:$G$5021="Firm")*('Projects Overview'!AN$2:AN$5021))</f>
        <v>0</v>
      </c>
      <c r="AF48" s="104" cm="1">
        <f t="array" ref="AF48">SUMPRODUCT(('Projects Overview'!$B$2:$B$5021="Riser Joint - LK - 3.5")*('Projects Overview'!$G$2:$G$5021="Firm")*('Projects Overview'!AO$2:AO$5021))</f>
        <v>0</v>
      </c>
      <c r="AG48" s="104" cm="1">
        <f t="array" ref="AG48">SUMPRODUCT(('Projects Overview'!$B$2:$B$5021="Riser Joint - LK - 3.5")*('Projects Overview'!$G$2:$G$5021="Firm")*('Projects Overview'!AP$2:AP$5021))</f>
        <v>0</v>
      </c>
      <c r="AH48" s="104" cm="1">
        <f t="array" ref="AH48">SUMPRODUCT(('Projects Overview'!$B$2:$B$5021="Riser Joint - LK - 3.5")*('Projects Overview'!$G$2:$G$5021="Firm")*('Projects Overview'!AQ$2:AQ$5021))</f>
        <v>0</v>
      </c>
      <c r="AI48" s="104" cm="1">
        <f t="array" ref="AI48">SUMPRODUCT(('Projects Overview'!$B$2:$B$5021="Riser Joint - LK - 3.5")*('Projects Overview'!$G$2:$G$5021="Firm")*('Projects Overview'!AR$2:AR$5021))</f>
        <v>0</v>
      </c>
      <c r="AJ48" s="104" cm="1">
        <f t="array" ref="AJ48">SUMPRODUCT(('Projects Overview'!$B$2:$B$5021="Riser Joint - LK - 3.5")*('Projects Overview'!$G$2:$G$5021="Firm")*('Projects Overview'!AS$2:AS$5021))</f>
        <v>0</v>
      </c>
      <c r="AK48" s="104" cm="1">
        <f t="array" ref="AK48">SUMPRODUCT(('Projects Overview'!$B$2:$B$5021="Riser Joint - LK - 3.5")*('Projects Overview'!$G$2:$G$5021="Firm")*('Projects Overview'!AT$2:AT$5021))</f>
        <v>0</v>
      </c>
      <c r="AL48" s="104" cm="1">
        <f t="array" ref="AL48">SUMPRODUCT(('Projects Overview'!$B$2:$B$5021="Riser Joint - LK - 3.5")*('Projects Overview'!$G$2:$G$5021="Firm")*('Projects Overview'!AU$2:AU$5021))</f>
        <v>0</v>
      </c>
      <c r="AM48" s="104" cm="1">
        <f t="array" ref="AM48">SUMPRODUCT(('Projects Overview'!$B$2:$B$5021="Riser Joint - LK - 3.5")*('Projects Overview'!$G$2:$G$5021="Firm")*('Projects Overview'!AV$2:AV$5021))</f>
        <v>0</v>
      </c>
      <c r="AN48" s="9"/>
      <c r="AO48" s="89" t="s">
        <v>378</v>
      </c>
      <c r="AP48" s="125">
        <v>0</v>
      </c>
      <c r="AQ48" s="124">
        <v>0</v>
      </c>
      <c r="AR48" s="122">
        <v>0</v>
      </c>
      <c r="AS48" s="122">
        <v>0</v>
      </c>
      <c r="AT48" s="140">
        <v>0</v>
      </c>
      <c r="AU48" s="124">
        <v>0</v>
      </c>
      <c r="AV48" s="122">
        <v>0</v>
      </c>
      <c r="AW48" s="122">
        <v>0</v>
      </c>
      <c r="AX48" s="123">
        <v>0</v>
      </c>
      <c r="AY48" s="124">
        <v>0</v>
      </c>
      <c r="AZ48" s="122">
        <v>0</v>
      </c>
      <c r="BA48" s="122">
        <v>0</v>
      </c>
      <c r="BB48" s="123">
        <v>0</v>
      </c>
      <c r="BE48" s="161"/>
      <c r="BG48" s="164"/>
      <c r="BH48" s="164"/>
      <c r="BI48" s="164"/>
      <c r="BJ48" s="164"/>
      <c r="BK48" s="164"/>
    </row>
    <row r="49" spans="1:64" ht="16" customHeight="1" thickBot="1" x14ac:dyDescent="0.4">
      <c r="A49" s="222"/>
      <c r="B49" s="225"/>
      <c r="C49" s="2" t="s">
        <v>6</v>
      </c>
      <c r="D49" s="104">
        <v>0</v>
      </c>
      <c r="E49" s="104">
        <v>0</v>
      </c>
      <c r="F49" s="104">
        <v>0</v>
      </c>
      <c r="G49" s="104">
        <v>0</v>
      </c>
      <c r="H49" s="104">
        <v>0</v>
      </c>
      <c r="I49" s="104" cm="1">
        <f t="array" ref="I49">SUMPRODUCT(('Projects Overview'!$B$2:$B$5021="Riser Joint - LK - 3.5")*('Projects Overview'!$G$2:$G$5021="Risk Release")*('Projects Overview'!R$2:R$5021))</f>
        <v>0</v>
      </c>
      <c r="J49" s="104" cm="1">
        <f t="array" ref="J49">SUMPRODUCT(('Projects Overview'!$B$2:$B$5021="Riser Joint - LK - 3.5")*('Projects Overview'!$G$2:$G$5021="Risk Release")*('Projects Overview'!S$2:S$5021))</f>
        <v>0</v>
      </c>
      <c r="K49" s="104" cm="1">
        <f t="array" ref="K49">SUMPRODUCT(('Projects Overview'!$B$2:$B$5021="Riser Joint - LK - 3.5")*('Projects Overview'!$G$2:$G$5021="Risk Release")*('Projects Overview'!T$2:T$5021))</f>
        <v>0</v>
      </c>
      <c r="L49" s="104" cm="1">
        <f t="array" ref="L49">SUMPRODUCT(('Projects Overview'!$B$2:$B$5021="Riser Joint - LK - 3.5")*('Projects Overview'!$G$2:$G$5021="Risk Release")*('Projects Overview'!U$2:U$5021))</f>
        <v>0</v>
      </c>
      <c r="M49" s="104" cm="1">
        <f t="array" ref="M49">SUMPRODUCT(('Projects Overview'!$B$2:$B$5021="Riser Joint - LK - 3.5")*('Projects Overview'!$G$2:$G$5021="Risk Release")*('Projects Overview'!V$2:V$5021))</f>
        <v>0</v>
      </c>
      <c r="N49" s="104" cm="1">
        <f t="array" ref="N49">SUMPRODUCT(('Projects Overview'!$B$2:$B$5021="Riser Joint - LK - 3.5")*('Projects Overview'!$G$2:$G$5021="Risk Release")*('Projects Overview'!W$2:W$5021))</f>
        <v>0</v>
      </c>
      <c r="O49" s="104" cm="1">
        <f t="array" ref="O49">SUMPRODUCT(('Projects Overview'!$B$2:$B$5021="Riser Joint - LK - 3.5")*('Projects Overview'!$G$2:$G$5021="Risk Release")*('Projects Overview'!X$2:X$5021))</f>
        <v>0</v>
      </c>
      <c r="P49" s="104" cm="1">
        <f t="array" ref="P49">SUMPRODUCT(('Projects Overview'!$B$2:$B$5021="Riser Joint - LK - 3.5")*('Projects Overview'!$G$2:$G$5021="Risk Release")*('Projects Overview'!Y$2:Y$5021))</f>
        <v>0</v>
      </c>
      <c r="Q49" s="104" cm="1">
        <f t="array" ref="Q49">SUMPRODUCT(('Projects Overview'!$B$2:$B$5021="Riser Joint - LK - 3.5")*('Projects Overview'!$G$2:$G$5021="Risk Release")*('Projects Overview'!Z$2:Z$5021))</f>
        <v>0</v>
      </c>
      <c r="R49" s="104" cm="1">
        <f t="array" ref="R49">SUMPRODUCT(('Projects Overview'!$B$2:$B$5021="Riser Joint - LK - 3.5")*('Projects Overview'!$G$2:$G$5021="Risk Release")*('Projects Overview'!AA$2:AA$5021))</f>
        <v>0</v>
      </c>
      <c r="S49" s="104" cm="1">
        <f t="array" ref="S49">SUMPRODUCT(('Projects Overview'!$B$2:$B$5021="Riser Joint - LK - 3.5")*('Projects Overview'!$G$2:$G$5021="Risk Release")*('Projects Overview'!AB$2:AB$5021))</f>
        <v>0</v>
      </c>
      <c r="T49" s="104" cm="1">
        <f t="array" ref="T49">SUMPRODUCT(('Projects Overview'!$B$2:$B$5021="Riser Joint - LK - 3.5")*('Projects Overview'!$G$2:$G$5021="Risk Release")*('Projects Overview'!AC$2:AC$5021))</f>
        <v>0</v>
      </c>
      <c r="U49" s="104" cm="1">
        <f t="array" ref="U49">SUMPRODUCT(('Projects Overview'!$B$2:$B$5021="Riser Joint - LK - 3.5")*('Projects Overview'!$G$2:$G$5021="Risk Release")*('Projects Overview'!AD$2:AD$5021))</f>
        <v>0</v>
      </c>
      <c r="V49" s="104" cm="1">
        <f t="array" ref="V49">SUMPRODUCT(('Projects Overview'!$B$2:$B$5021="Riser Joint - LK - 3.5")*('Projects Overview'!$G$2:$G$5021="Risk Release")*('Projects Overview'!AE$2:AE$5021))</f>
        <v>0</v>
      </c>
      <c r="W49" s="104" cm="1">
        <f t="array" ref="W49">SUMPRODUCT(('Projects Overview'!$B$2:$B$5021="Riser Joint - LK - 3.5")*('Projects Overview'!$G$2:$G$5021="Risk Release")*('Projects Overview'!AF$2:AF$5021))</f>
        <v>0</v>
      </c>
      <c r="X49" s="104" cm="1">
        <f t="array" ref="X49">SUMPRODUCT(('Projects Overview'!$B$2:$B$5021="Riser Joint - LK - 3.5")*('Projects Overview'!$G$2:$G$5021="Risk Release")*('Projects Overview'!AG$2:AG$5021))</f>
        <v>0</v>
      </c>
      <c r="Y49" s="104" cm="1">
        <f t="array" ref="Y49">SUMPRODUCT(('Projects Overview'!$B$2:$B$5021="Riser Joint - LK - 3.5")*('Projects Overview'!$G$2:$G$5021="Risk Release")*('Projects Overview'!AH$2:AH$5021))</f>
        <v>0</v>
      </c>
      <c r="Z49" s="104" cm="1">
        <f t="array" ref="Z49">SUMPRODUCT(('Projects Overview'!$B$2:$B$5021="Riser Joint - LK - 3.5")*('Projects Overview'!$G$2:$G$5021="Risk Release")*('Projects Overview'!AI$2:AI$5021))</f>
        <v>0</v>
      </c>
      <c r="AA49" s="104" cm="1">
        <f t="array" ref="AA49">SUMPRODUCT(('Projects Overview'!$B$2:$B$5021="Riser Joint - LK - 3.5")*('Projects Overview'!$G$2:$G$5021="Risk Release")*('Projects Overview'!AJ$2:AJ$5021))</f>
        <v>0</v>
      </c>
      <c r="AB49" s="104" cm="1">
        <f t="array" ref="AB49">SUMPRODUCT(('Projects Overview'!$B$2:$B$5021="Riser Joint - LK - 3.5")*('Projects Overview'!$G$2:$G$5021="Risk Release")*('Projects Overview'!AK$2:AK$5021))</f>
        <v>0</v>
      </c>
      <c r="AC49" s="104" cm="1">
        <f t="array" ref="AC49">SUMPRODUCT(('Projects Overview'!$B$2:$B$5021="Riser Joint - LK - 3.5")*('Projects Overview'!$G$2:$G$5021="Risk Release")*('Projects Overview'!AL$2:AL$5021))</f>
        <v>0</v>
      </c>
      <c r="AD49" s="104" cm="1">
        <f t="array" ref="AD49">SUMPRODUCT(('Projects Overview'!$B$2:$B$5021="Riser Joint - LK - 3.5")*('Projects Overview'!$G$2:$G$5021="Risk Release")*('Projects Overview'!AM$2:AM$5021))</f>
        <v>0</v>
      </c>
      <c r="AE49" s="104" cm="1">
        <f t="array" ref="AE49">SUMPRODUCT(('Projects Overview'!$B$2:$B$5021="Riser Joint - LK - 3.5")*('Projects Overview'!$G$2:$G$5021="Risk Release")*('Projects Overview'!AN$2:AN$5021))</f>
        <v>0</v>
      </c>
      <c r="AF49" s="104" cm="1">
        <f t="array" ref="AF49">SUMPRODUCT(('Projects Overview'!$B$2:$B$5021="Riser Joint - LK - 3.5")*('Projects Overview'!$G$2:$G$5021="Risk Release")*('Projects Overview'!AO$2:AO$5021))</f>
        <v>0</v>
      </c>
      <c r="AG49" s="104" cm="1">
        <f t="array" ref="AG49">SUMPRODUCT(('Projects Overview'!$B$2:$B$5021="Riser Joint - LK - 3.5")*('Projects Overview'!$G$2:$G$5021="Risk Release")*('Projects Overview'!AP$2:AP$5021))</f>
        <v>0</v>
      </c>
      <c r="AH49" s="104" cm="1">
        <f t="array" ref="AH49">SUMPRODUCT(('Projects Overview'!$B$2:$B$5021="Riser Joint - LK - 3.5")*('Projects Overview'!$G$2:$G$5021="Risk Release")*('Projects Overview'!AQ$2:AQ$5021))</f>
        <v>0</v>
      </c>
      <c r="AI49" s="104" cm="1">
        <f t="array" ref="AI49">SUMPRODUCT(('Projects Overview'!$B$2:$B$5021="Riser Joint - LK - 3.5")*('Projects Overview'!$G$2:$G$5021="Risk Release")*('Projects Overview'!AR$2:AR$5021))</f>
        <v>0</v>
      </c>
      <c r="AJ49" s="104" cm="1">
        <f t="array" ref="AJ49">SUMPRODUCT(('Projects Overview'!$B$2:$B$5021="Riser Joint - LK - 3.5")*('Projects Overview'!$G$2:$G$5021="Risk Release")*('Projects Overview'!AS$2:AS$5021))</f>
        <v>0</v>
      </c>
      <c r="AK49" s="104" cm="1">
        <f t="array" ref="AK49">SUMPRODUCT(('Projects Overview'!$B$2:$B$5021="Riser Joint - LK - 3.5")*('Projects Overview'!$G$2:$G$5021="Risk Release")*('Projects Overview'!AT$2:AT$5021))</f>
        <v>0</v>
      </c>
      <c r="AL49" s="104" cm="1">
        <f t="array" ref="AL49">SUMPRODUCT(('Projects Overview'!$B$2:$B$5021="Riser Joint - LK - 3.5")*('Projects Overview'!$G$2:$G$5021="Risk Release")*('Projects Overview'!AU$2:AU$5021))</f>
        <v>0</v>
      </c>
      <c r="AM49" s="104" cm="1">
        <f t="array" ref="AM49">SUMPRODUCT(('Projects Overview'!$B$2:$B$5021="Riser Joint - LK - 3.5")*('Projects Overview'!$G$2:$G$5021="Risk Release")*('Projects Overview'!AV$2:AV$5021))</f>
        <v>0</v>
      </c>
      <c r="AN49" s="9"/>
      <c r="AO49" s="89" t="s">
        <v>379</v>
      </c>
      <c r="AP49" s="125">
        <v>0</v>
      </c>
      <c r="AQ49" s="124">
        <v>0</v>
      </c>
      <c r="AR49" s="122">
        <v>0</v>
      </c>
      <c r="AS49" s="122">
        <v>0</v>
      </c>
      <c r="AT49" s="140">
        <v>0</v>
      </c>
      <c r="AU49" s="124">
        <v>0</v>
      </c>
      <c r="AV49" s="122">
        <v>0</v>
      </c>
      <c r="AW49" s="122">
        <v>0</v>
      </c>
      <c r="AX49" s="123">
        <v>0</v>
      </c>
      <c r="AY49" s="124">
        <v>0</v>
      </c>
      <c r="AZ49" s="122">
        <v>0</v>
      </c>
      <c r="BA49" s="122">
        <v>0</v>
      </c>
      <c r="BB49" s="123">
        <v>0</v>
      </c>
      <c r="BE49" s="160"/>
      <c r="BG49" s="164"/>
      <c r="BH49" s="164"/>
      <c r="BI49" s="164"/>
      <c r="BJ49" s="164"/>
      <c r="BK49" s="164"/>
    </row>
    <row r="50" spans="1:64" ht="16" customHeight="1" thickBot="1" x14ac:dyDescent="0.4">
      <c r="A50" s="223"/>
      <c r="B50" s="226"/>
      <c r="C50" s="3" t="s">
        <v>8</v>
      </c>
      <c r="D50" s="104">
        <v>0</v>
      </c>
      <c r="E50" s="104">
        <v>0</v>
      </c>
      <c r="F50" s="104">
        <v>0</v>
      </c>
      <c r="G50" s="104">
        <v>0</v>
      </c>
      <c r="H50" s="104">
        <v>0</v>
      </c>
      <c r="I50" s="104" cm="1">
        <f t="array" ref="I50">SUMPRODUCT(('Projects Overview'!$B$2:$B$5021="Riser Joint - LK - 3.5")*('Projects Overview'!$G$2:$G$5021="Forecast")*('Projects Overview'!R$2:R$5021))</f>
        <v>0</v>
      </c>
      <c r="J50" s="104" cm="1">
        <f t="array" ref="J50">SUMPRODUCT(('Projects Overview'!$B$2:$B$5021="Riser Joint - LK - 3.5")*('Projects Overview'!$G$2:$G$5021="Forecast")*('Projects Overview'!S$2:S$5021))</f>
        <v>0</v>
      </c>
      <c r="K50" s="104" cm="1">
        <f t="array" ref="K50">SUMPRODUCT(('Projects Overview'!$B$2:$B$5021="Riser Joint - LK - 3.5")*('Projects Overview'!$G$2:$G$5021="Forecast")*('Projects Overview'!T$2:T$5021))</f>
        <v>0</v>
      </c>
      <c r="L50" s="104" cm="1">
        <f t="array" ref="L50">SUMPRODUCT(('Projects Overview'!$B$2:$B$5021="Riser Joint - LK - 3.5")*('Projects Overview'!$G$2:$G$5021="Forecast")*('Projects Overview'!U$2:U$5021))</f>
        <v>0</v>
      </c>
      <c r="M50" s="104" cm="1">
        <f t="array" ref="M50">SUMPRODUCT(('Projects Overview'!$B$2:$B$5021="Riser Joint - LK - 3.5")*('Projects Overview'!$G$2:$G$5021="Forecast")*('Projects Overview'!V$2:V$5021))</f>
        <v>0</v>
      </c>
      <c r="N50" s="104" cm="1">
        <f t="array" ref="N50">SUMPRODUCT(('Projects Overview'!$B$2:$B$5021="Riser Joint - LK - 3.5")*('Projects Overview'!$G$2:$G$5021="Forecast")*('Projects Overview'!W$2:W$5021))</f>
        <v>0</v>
      </c>
      <c r="O50" s="104" cm="1">
        <f t="array" ref="O50">SUMPRODUCT(('Projects Overview'!$B$2:$B$5021="Riser Joint - LK - 3.5")*('Projects Overview'!$G$2:$G$5021="Forecast")*('Projects Overview'!X$2:X$5021))</f>
        <v>0</v>
      </c>
      <c r="P50" s="104" cm="1">
        <f t="array" ref="P50">SUMPRODUCT(('Projects Overview'!$B$2:$B$5021="Riser Joint - LK - 3.5")*('Projects Overview'!$G$2:$G$5021="Forecast")*('Projects Overview'!Y$2:Y$5021))</f>
        <v>0</v>
      </c>
      <c r="Q50" s="104" cm="1">
        <f t="array" ref="Q50">SUMPRODUCT(('Projects Overview'!$B$2:$B$5021="Riser Joint - LK - 3.5")*('Projects Overview'!$G$2:$G$5021="Forecast")*('Projects Overview'!Z$2:Z$5021))</f>
        <v>0</v>
      </c>
      <c r="R50" s="104" cm="1">
        <f t="array" ref="R50">SUMPRODUCT(('Projects Overview'!$B$2:$B$5021="Riser Joint - LK - 3.5")*('Projects Overview'!$G$2:$G$5021="Forecast")*('Projects Overview'!AA$2:AA$5021))</f>
        <v>300</v>
      </c>
      <c r="S50" s="104" cm="1">
        <f t="array" ref="S50">SUMPRODUCT(('Projects Overview'!$B$2:$B$5021="Riser Joint - LK - 3.5")*('Projects Overview'!$G$2:$G$5021="Forecast")*('Projects Overview'!AB$2:AB$5021))</f>
        <v>0</v>
      </c>
      <c r="T50" s="104" cm="1">
        <f t="array" ref="T50">SUMPRODUCT(('Projects Overview'!$B$2:$B$5021="Riser Joint - LK - 3.5")*('Projects Overview'!$G$2:$G$5021="Forecast")*('Projects Overview'!AC$2:AC$5021))</f>
        <v>0</v>
      </c>
      <c r="U50" s="104" cm="1">
        <f t="array" ref="U50">SUMPRODUCT(('Projects Overview'!$B$2:$B$5021="Riser Joint - LK - 3.5")*('Projects Overview'!$G$2:$G$5021="Forecast")*('Projects Overview'!AD$2:AD$5021))</f>
        <v>0</v>
      </c>
      <c r="V50" s="104" cm="1">
        <f t="array" ref="V50">SUMPRODUCT(('Projects Overview'!$B$2:$B$5021="Riser Joint - LK - 3.5")*('Projects Overview'!$G$2:$G$5021="Forecast")*('Projects Overview'!AE$2:AE$5021))</f>
        <v>4800</v>
      </c>
      <c r="W50" s="104" cm="1">
        <f t="array" ref="W50">SUMPRODUCT(('Projects Overview'!$B$2:$B$5021="Riser Joint - LK - 3.5")*('Projects Overview'!$G$2:$G$5021="Forecast")*('Projects Overview'!AF$2:AF$5021))</f>
        <v>950.4</v>
      </c>
      <c r="X50" s="104" cm="1">
        <f t="array" ref="X50">SUMPRODUCT(('Projects Overview'!$B$2:$B$5021="Riser Joint - LK - 3.5")*('Projects Overview'!$G$2:$G$5021="Forecast")*('Projects Overview'!AG$2:AG$5021))</f>
        <v>2500.4</v>
      </c>
      <c r="Y50" s="104" cm="1">
        <f t="array" ref="Y50">SUMPRODUCT(('Projects Overview'!$B$2:$B$5021="Riser Joint - LK - 3.5")*('Projects Overview'!$G$2:$G$5021="Forecast")*('Projects Overview'!AH$2:AH$5021))</f>
        <v>7300.4</v>
      </c>
      <c r="Z50" s="104" cm="1">
        <f t="array" ref="Z50">SUMPRODUCT(('Projects Overview'!$B$2:$B$5021="Riser Joint - LK - 3.5")*('Projects Overview'!$G$2:$G$5021="Forecast")*('Projects Overview'!AI$2:AI$5021))</f>
        <v>950.4</v>
      </c>
      <c r="AA50" s="104" cm="1">
        <f t="array" ref="AA50">SUMPRODUCT(('Projects Overview'!$B$2:$B$5021="Riser Joint - LK - 3.5")*('Projects Overview'!$G$2:$G$5021="Forecast")*('Projects Overview'!AJ$2:AJ$5021))</f>
        <v>2500.4</v>
      </c>
      <c r="AB50" s="104" cm="1">
        <f t="array" ref="AB50">SUMPRODUCT(('Projects Overview'!$B$2:$B$5021="Riser Joint - LK - 3.5")*('Projects Overview'!$G$2:$G$5021="Forecast")*('Projects Overview'!AK$2:AK$5021))</f>
        <v>0</v>
      </c>
      <c r="AC50" s="104" cm="1">
        <f t="array" ref="AC50">SUMPRODUCT(('Projects Overview'!$B$2:$B$5021="Riser Joint - LK - 3.5")*('Projects Overview'!$G$2:$G$5021="Forecast")*('Projects Overview'!AL$2:AL$5021))</f>
        <v>0</v>
      </c>
      <c r="AD50" s="104" cm="1">
        <f t="array" ref="AD50">SUMPRODUCT(('Projects Overview'!$B$2:$B$5021="Riser Joint - LK - 3.5")*('Projects Overview'!$G$2:$G$5021="Forecast")*('Projects Overview'!AM$2:AM$5021))</f>
        <v>0</v>
      </c>
      <c r="AE50" s="104" cm="1">
        <f t="array" ref="AE50">SUMPRODUCT(('Projects Overview'!$B$2:$B$5021="Riser Joint - LK - 3.5")*('Projects Overview'!$G$2:$G$5021="Forecast")*('Projects Overview'!AN$2:AN$5021))</f>
        <v>0</v>
      </c>
      <c r="AF50" s="104" cm="1">
        <f t="array" ref="AF50">SUMPRODUCT(('Projects Overview'!$B$2:$B$5021="Riser Joint - LK - 3.5")*('Projects Overview'!$G$2:$G$5021="Forecast")*('Projects Overview'!AO$2:AO$5021))</f>
        <v>0</v>
      </c>
      <c r="AG50" s="104" cm="1">
        <f t="array" ref="AG50">SUMPRODUCT(('Projects Overview'!$B$2:$B$5021="Riser Joint - LK - 3.5")*('Projects Overview'!$G$2:$G$5021="Forecast")*('Projects Overview'!AP$2:AP$5021))</f>
        <v>0</v>
      </c>
      <c r="AH50" s="104" cm="1">
        <f t="array" ref="AH50">SUMPRODUCT(('Projects Overview'!$B$2:$B$5021="Riser Joint - LK - 3.5")*('Projects Overview'!$G$2:$G$5021="Forecast")*('Projects Overview'!AQ$2:AQ$5021))</f>
        <v>0</v>
      </c>
      <c r="AI50" s="104" cm="1">
        <f t="array" ref="AI50">SUMPRODUCT(('Projects Overview'!$B$2:$B$5021="Riser Joint - LK - 3.5")*('Projects Overview'!$G$2:$G$5021="Forecast")*('Projects Overview'!AR$2:AR$5021))</f>
        <v>0</v>
      </c>
      <c r="AJ50" s="104" cm="1">
        <f t="array" ref="AJ50">SUMPRODUCT(('Projects Overview'!$B$2:$B$5021="Riser Joint - LK - 3.5")*('Projects Overview'!$G$2:$G$5021="Forecast")*('Projects Overview'!AS$2:AS$5021))</f>
        <v>0</v>
      </c>
      <c r="AK50" s="104" cm="1">
        <f t="array" ref="AK50">SUMPRODUCT(('Projects Overview'!$B$2:$B$5021="Riser Joint - LK - 3.5")*('Projects Overview'!$G$2:$G$5021="Forecast")*('Projects Overview'!AT$2:AT$5021))</f>
        <v>0</v>
      </c>
      <c r="AL50" s="104" cm="1">
        <f t="array" ref="AL50">SUMPRODUCT(('Projects Overview'!$B$2:$B$5021="Riser Joint - LK - 3.5")*('Projects Overview'!$G$2:$G$5021="Forecast")*('Projects Overview'!AU$2:AU$5021))</f>
        <v>0</v>
      </c>
      <c r="AM50" s="104" cm="1">
        <f t="array" ref="AM50">SUMPRODUCT(('Projects Overview'!$B$2:$B$5021="Riser Joint - LK - 3.5")*('Projects Overview'!$G$2:$G$5021="Forecast")*('Projects Overview'!AV$2:AV$5021))</f>
        <v>0</v>
      </c>
      <c r="AN50" s="9"/>
      <c r="AO50" s="89" t="s">
        <v>380</v>
      </c>
      <c r="AP50" s="125">
        <v>0</v>
      </c>
      <c r="AQ50" s="124">
        <v>0</v>
      </c>
      <c r="AR50" s="122">
        <v>0</v>
      </c>
      <c r="AS50" s="122">
        <v>0</v>
      </c>
      <c r="AT50" s="140">
        <v>0</v>
      </c>
      <c r="AU50" s="124">
        <v>0</v>
      </c>
      <c r="AV50" s="122">
        <v>0</v>
      </c>
      <c r="AW50" s="122">
        <v>0</v>
      </c>
      <c r="AX50" s="123">
        <v>0</v>
      </c>
      <c r="AY50" s="124">
        <v>0</v>
      </c>
      <c r="AZ50" s="122">
        <v>0</v>
      </c>
      <c r="BA50" s="122">
        <v>0</v>
      </c>
      <c r="BB50" s="123">
        <v>0</v>
      </c>
      <c r="BE50" s="162"/>
    </row>
    <row r="51" spans="1:64" ht="14.5" customHeight="1" thickBot="1" x14ac:dyDescent="0.4">
      <c r="A51" s="221" t="s">
        <v>77</v>
      </c>
      <c r="B51" s="224" t="s">
        <v>131</v>
      </c>
      <c r="C51" s="1" t="s">
        <v>4</v>
      </c>
      <c r="D51" s="104">
        <v>863.57142857142856</v>
      </c>
      <c r="E51" s="104">
        <v>863.57142857142856</v>
      </c>
      <c r="F51" s="104">
        <v>863.57142857142856</v>
      </c>
      <c r="G51" s="104">
        <v>863.57142857142856</v>
      </c>
      <c r="H51" s="104">
        <v>0</v>
      </c>
      <c r="I51" s="104" cm="1">
        <f t="array" ref="I51">SUMPRODUCT(('Projects Overview'!$B$2:$B$5021="DDM")*('Projects Overview'!$G$2:$G$5021="Firm")*('Projects Overview'!R$2:R$5021))</f>
        <v>671.66666666666663</v>
      </c>
      <c r="J51" s="104" cm="1">
        <f t="array" ref="J51">SUMPRODUCT(('Projects Overview'!$B$2:$B$5021="DDM")*('Projects Overview'!$G$2:$G$5021="Firm")*('Projects Overview'!S$2:S$5021))</f>
        <v>671.66666666666663</v>
      </c>
      <c r="K51" s="104" cm="1">
        <f t="array" ref="K51">SUMPRODUCT(('Projects Overview'!$B$2:$B$5021="DDM")*('Projects Overview'!$G$2:$G$5021="Firm")*('Projects Overview'!T$2:T$5021))</f>
        <v>671.66666666666663</v>
      </c>
      <c r="L51" s="104" cm="1">
        <f t="array" ref="L51">SUMPRODUCT(('Projects Overview'!$B$2:$B$5021="DDM")*('Projects Overview'!$G$2:$G$5021="Firm")*('Projects Overview'!U$2:U$5021))</f>
        <v>472</v>
      </c>
      <c r="M51" s="104" cm="1">
        <f t="array" ref="M51">SUMPRODUCT(('Projects Overview'!$B$2:$B$5021="DDM")*('Projects Overview'!$G$2:$G$5021="Firm")*('Projects Overview'!V$2:V$5021))</f>
        <v>250</v>
      </c>
      <c r="N51" s="104" cm="1">
        <f t="array" ref="N51">SUMPRODUCT(('Projects Overview'!$B$2:$B$5021="DDM")*('Projects Overview'!$G$2:$G$5021="Firm")*('Projects Overview'!W$2:W$5021))</f>
        <v>150</v>
      </c>
      <c r="O51" s="104" cm="1">
        <f t="array" ref="O51">SUMPRODUCT(('Projects Overview'!$B$2:$B$5021="DDM")*('Projects Overview'!$G$2:$G$5021="Firm")*('Projects Overview'!X$2:X$5021))</f>
        <v>20</v>
      </c>
      <c r="P51" s="104" cm="1">
        <f t="array" ref="P51">SUMPRODUCT(('Projects Overview'!$B$2:$B$5021="DDM")*('Projects Overview'!$G$2:$G$5021="Firm")*('Projects Overview'!Y$2:Y$5021))</f>
        <v>60</v>
      </c>
      <c r="Q51" s="104" cm="1">
        <f t="array" ref="Q51">SUMPRODUCT(('Projects Overview'!$B$2:$B$5021="DDM")*('Projects Overview'!$G$2:$G$5021="Firm")*('Projects Overview'!Z$2:Z$5021))</f>
        <v>0</v>
      </c>
      <c r="R51" s="104" cm="1">
        <f t="array" ref="R51">SUMPRODUCT(('Projects Overview'!$B$2:$B$5021="DDM")*('Projects Overview'!$G$2:$G$5021="Firm")*('Projects Overview'!AA$2:AA$5021))</f>
        <v>0</v>
      </c>
      <c r="S51" s="104" cm="1">
        <f t="array" ref="S51">SUMPRODUCT(('Projects Overview'!$B$2:$B$5021="DDM")*('Projects Overview'!$G$2:$G$5021="Firm")*('Projects Overview'!AB$2:AB$5021))</f>
        <v>0</v>
      </c>
      <c r="T51" s="104" cm="1">
        <f t="array" ref="T51">SUMPRODUCT(('Projects Overview'!$B$2:$B$5021="DDM")*('Projects Overview'!$G$2:$G$5021="Firm")*('Projects Overview'!AC$2:AC$5021))</f>
        <v>0</v>
      </c>
      <c r="U51" s="104" cm="1">
        <f t="array" ref="U51">SUMPRODUCT(('Projects Overview'!$B$2:$B$5021="DDM")*('Projects Overview'!$G$2:$G$5021="Firm")*('Projects Overview'!AD$2:AD$5021))</f>
        <v>0</v>
      </c>
      <c r="V51" s="104" cm="1">
        <f t="array" ref="V51">SUMPRODUCT(('Projects Overview'!$B$2:$B$5021="DDM")*('Projects Overview'!$G$2:$G$5021="Firm")*('Projects Overview'!AE$2:AE$5021))</f>
        <v>0</v>
      </c>
      <c r="W51" s="104" cm="1">
        <f t="array" ref="W51">SUMPRODUCT(('Projects Overview'!$B$2:$B$5021="DDM")*('Projects Overview'!$G$2:$G$5021="Firm")*('Projects Overview'!AF$2:AF$5021))</f>
        <v>0</v>
      </c>
      <c r="X51" s="104" cm="1">
        <f t="array" ref="X51">SUMPRODUCT(('Projects Overview'!$B$2:$B$5021="DDM")*('Projects Overview'!$G$2:$G$5021="Firm")*('Projects Overview'!AG$2:AG$5021))</f>
        <v>0</v>
      </c>
      <c r="Y51" s="104" cm="1">
        <f t="array" ref="Y51">SUMPRODUCT(('Projects Overview'!$B$2:$B$5021="DDM")*('Projects Overview'!$G$2:$G$5021="Firm")*('Projects Overview'!AH$2:AH$5021))</f>
        <v>0</v>
      </c>
      <c r="Z51" s="104" cm="1">
        <f t="array" ref="Z51">SUMPRODUCT(('Projects Overview'!$B$2:$B$5021="DDM")*('Projects Overview'!$G$2:$G$5021="Firm")*('Projects Overview'!AI$2:AI$5021))</f>
        <v>0</v>
      </c>
      <c r="AA51" s="104" cm="1">
        <f t="array" ref="AA51">SUMPRODUCT(('Projects Overview'!$B$2:$B$5021="DDM")*('Projects Overview'!$G$2:$G$5021="Firm")*('Projects Overview'!AJ$2:AJ$5021))</f>
        <v>0</v>
      </c>
      <c r="AB51" s="104" cm="1">
        <f t="array" ref="AB51">SUMPRODUCT(('Projects Overview'!$B$2:$B$5021="DDM")*('Projects Overview'!$G$2:$G$5021="Firm")*('Projects Overview'!AK$2:AK$5021))</f>
        <v>0</v>
      </c>
      <c r="AC51" s="104" cm="1">
        <f t="array" ref="AC51">SUMPRODUCT(('Projects Overview'!$B$2:$B$5021="DDM")*('Projects Overview'!$G$2:$G$5021="Firm")*('Projects Overview'!AL$2:AL$5021))</f>
        <v>0</v>
      </c>
      <c r="AD51" s="104" cm="1">
        <f t="array" ref="AD51">SUMPRODUCT(('Projects Overview'!$B$2:$B$5021="DDM")*('Projects Overview'!$G$2:$G$5021="Firm")*('Projects Overview'!AM$2:AM$5021))</f>
        <v>0</v>
      </c>
      <c r="AE51" s="104" cm="1">
        <f t="array" ref="AE51">SUMPRODUCT(('Projects Overview'!$B$2:$B$5021="DDM")*('Projects Overview'!$G$2:$G$5021="Firm")*('Projects Overview'!AN$2:AN$5021))</f>
        <v>0</v>
      </c>
      <c r="AF51" s="104" cm="1">
        <f t="array" ref="AF51">SUMPRODUCT(('Projects Overview'!$B$2:$B$5021="DDM")*('Projects Overview'!$G$2:$G$5021="Firm")*('Projects Overview'!AO$2:AO$5021))</f>
        <v>0</v>
      </c>
      <c r="AG51" s="104" cm="1">
        <f t="array" ref="AG51">SUMPRODUCT(('Projects Overview'!$B$2:$B$5021="DDM")*('Projects Overview'!$G$2:$G$5021="Firm")*('Projects Overview'!AP$2:AP$5021))</f>
        <v>0</v>
      </c>
      <c r="AH51" s="104" cm="1">
        <f t="array" ref="AH51">SUMPRODUCT(('Projects Overview'!$B$2:$B$5021="DDM")*('Projects Overview'!$G$2:$G$5021="Firm")*('Projects Overview'!AQ$2:AQ$5021))</f>
        <v>0</v>
      </c>
      <c r="AI51" s="104" cm="1">
        <f t="array" ref="AI51">SUMPRODUCT(('Projects Overview'!$B$2:$B$5021="DDM")*('Projects Overview'!$G$2:$G$5021="Firm")*('Projects Overview'!AR$2:AR$5021))</f>
        <v>0</v>
      </c>
      <c r="AJ51" s="104" cm="1">
        <f t="array" ref="AJ51">SUMPRODUCT(('Projects Overview'!$B$2:$B$5021="DDM")*('Projects Overview'!$G$2:$G$5021="Firm")*('Projects Overview'!AS$2:AS$5021))</f>
        <v>0</v>
      </c>
      <c r="AK51" s="104" cm="1">
        <f t="array" ref="AK51">SUMPRODUCT(('Projects Overview'!$B$2:$B$5021="DDM")*('Projects Overview'!$G$2:$G$5021="Firm")*('Projects Overview'!AT$2:AT$5021))</f>
        <v>0</v>
      </c>
      <c r="AL51" s="104" cm="1">
        <f t="array" ref="AL51">SUMPRODUCT(('Projects Overview'!$B$2:$B$5021="DDM")*('Projects Overview'!$G$2:$G$5021="Firm")*('Projects Overview'!AU$2:AU$5021))</f>
        <v>0</v>
      </c>
      <c r="AM51" s="104" cm="1">
        <f t="array" ref="AM51">SUMPRODUCT(('Projects Overview'!$B$2:$B$5021="DDM")*('Projects Overview'!$G$2:$G$5021="Firm")*('Projects Overview'!AV$2:AV$5021))</f>
        <v>0</v>
      </c>
      <c r="AN51" s="9"/>
      <c r="AO51" s="89" t="s">
        <v>381</v>
      </c>
      <c r="AP51" s="125">
        <v>0</v>
      </c>
      <c r="AQ51" s="124">
        <v>0</v>
      </c>
      <c r="AR51" s="122">
        <v>0</v>
      </c>
      <c r="AS51" s="122">
        <v>0</v>
      </c>
      <c r="AT51" s="140">
        <v>0</v>
      </c>
      <c r="AU51" s="124">
        <v>0</v>
      </c>
      <c r="AV51" s="122">
        <v>0</v>
      </c>
      <c r="AW51" s="122">
        <v>0</v>
      </c>
      <c r="AX51" s="123">
        <v>0</v>
      </c>
      <c r="AY51" s="124">
        <v>0</v>
      </c>
      <c r="AZ51" s="122">
        <v>0</v>
      </c>
      <c r="BA51" s="122">
        <v>0</v>
      </c>
      <c r="BB51" s="123">
        <v>0</v>
      </c>
      <c r="BE51" s="160"/>
    </row>
    <row r="52" spans="1:64" ht="14.5" customHeight="1" thickBot="1" x14ac:dyDescent="0.4">
      <c r="A52" s="222"/>
      <c r="B52" s="225"/>
      <c r="C52" s="2" t="s">
        <v>6</v>
      </c>
      <c r="D52" s="104">
        <v>0</v>
      </c>
      <c r="E52" s="104">
        <v>0</v>
      </c>
      <c r="F52" s="104">
        <v>0</v>
      </c>
      <c r="G52" s="104">
        <v>0</v>
      </c>
      <c r="H52" s="104">
        <v>0</v>
      </c>
      <c r="I52" s="104" cm="1">
        <f t="array" ref="I52">SUMPRODUCT(('Projects Overview'!$B$2:$B$5021="DDM")*('Projects Overview'!$G$2:$G$5021="Risk Release")*('Projects Overview'!R$2:R$5021))</f>
        <v>0</v>
      </c>
      <c r="J52" s="104" cm="1">
        <f t="array" ref="J52">SUMPRODUCT(('Projects Overview'!$B$2:$B$5021="DDM")*('Projects Overview'!$G$2:$G$5021="Risk Release")*('Projects Overview'!S$2:S$5021))</f>
        <v>0</v>
      </c>
      <c r="K52" s="104" cm="1">
        <f t="array" ref="K52">SUMPRODUCT(('Projects Overview'!$B$2:$B$5021="DDM")*('Projects Overview'!$G$2:$G$5021="Risk Release")*('Projects Overview'!T$2:T$5021))</f>
        <v>0</v>
      </c>
      <c r="L52" s="104" cm="1">
        <f t="array" ref="L52">SUMPRODUCT(('Projects Overview'!$B$2:$B$5021="DDM")*('Projects Overview'!$G$2:$G$5021="Risk Release")*('Projects Overview'!U$2:U$5021))</f>
        <v>0</v>
      </c>
      <c r="M52" s="104" cm="1">
        <f t="array" ref="M52">SUMPRODUCT(('Projects Overview'!$B$2:$B$5021="DDM")*('Projects Overview'!$G$2:$G$5021="Risk Release")*('Projects Overview'!V$2:V$5021))</f>
        <v>0</v>
      </c>
      <c r="N52" s="104" cm="1">
        <f t="array" ref="N52">SUMPRODUCT(('Projects Overview'!$B$2:$B$5021="DDM")*('Projects Overview'!$G$2:$G$5021="Risk Release")*('Projects Overview'!W$2:W$5021))</f>
        <v>0</v>
      </c>
      <c r="O52" s="104" cm="1">
        <f t="array" ref="O52">SUMPRODUCT(('Projects Overview'!$B$2:$B$5021="DDM")*('Projects Overview'!$G$2:$G$5021="Risk Release")*('Projects Overview'!X$2:X$5021))</f>
        <v>0</v>
      </c>
      <c r="P52" s="104" cm="1">
        <f t="array" ref="P52">SUMPRODUCT(('Projects Overview'!$B$2:$B$5021="DDM")*('Projects Overview'!$G$2:$G$5021="Risk Release")*('Projects Overview'!Y$2:Y$5021))</f>
        <v>0</v>
      </c>
      <c r="Q52" s="104" cm="1">
        <f t="array" ref="Q52">SUMPRODUCT(('Projects Overview'!$B$2:$B$5021="DDM")*('Projects Overview'!$G$2:$G$5021="Risk Release")*('Projects Overview'!Z$2:Z$5021))</f>
        <v>0</v>
      </c>
      <c r="R52" s="104" cm="1">
        <f t="array" ref="R52">SUMPRODUCT(('Projects Overview'!$B$2:$B$5021="DDM")*('Projects Overview'!$G$2:$G$5021="Risk Release")*('Projects Overview'!AA$2:AA$5021))</f>
        <v>0</v>
      </c>
      <c r="S52" s="104" cm="1">
        <f t="array" ref="S52">SUMPRODUCT(('Projects Overview'!$B$2:$B$5021="DDM")*('Projects Overview'!$G$2:$G$5021="Risk Release")*('Projects Overview'!AB$2:AB$5021))</f>
        <v>0</v>
      </c>
      <c r="T52" s="104" cm="1">
        <f t="array" ref="T52">SUMPRODUCT(('Projects Overview'!$B$2:$B$5021="DDM")*('Projects Overview'!$G$2:$G$5021="Risk Release")*('Projects Overview'!AC$2:AC$5021))</f>
        <v>0</v>
      </c>
      <c r="U52" s="104" cm="1">
        <f t="array" ref="U52">SUMPRODUCT(('Projects Overview'!$B$2:$B$5021="DDM")*('Projects Overview'!$G$2:$G$5021="Risk Release")*('Projects Overview'!AD$2:AD$5021))</f>
        <v>0</v>
      </c>
      <c r="V52" s="104" cm="1">
        <f t="array" ref="V52">SUMPRODUCT(('Projects Overview'!$B$2:$B$5021="DDM")*('Projects Overview'!$G$2:$G$5021="Risk Release")*('Projects Overview'!AE$2:AE$5021))</f>
        <v>0</v>
      </c>
      <c r="W52" s="104" cm="1">
        <f t="array" ref="W52">SUMPRODUCT(('Projects Overview'!$B$2:$B$5021="DDM")*('Projects Overview'!$G$2:$G$5021="Risk Release")*('Projects Overview'!AF$2:AF$5021))</f>
        <v>0</v>
      </c>
      <c r="X52" s="104" cm="1">
        <f t="array" ref="X52">SUMPRODUCT(('Projects Overview'!$B$2:$B$5021="DDM")*('Projects Overview'!$G$2:$G$5021="Risk Release")*('Projects Overview'!AG$2:AG$5021))</f>
        <v>0</v>
      </c>
      <c r="Y52" s="104" cm="1">
        <f t="array" ref="Y52">SUMPRODUCT(('Projects Overview'!$B$2:$B$5021="DDM")*('Projects Overview'!$G$2:$G$5021="Risk Release")*('Projects Overview'!AH$2:AH$5021))</f>
        <v>0</v>
      </c>
      <c r="Z52" s="104" cm="1">
        <f t="array" ref="Z52">SUMPRODUCT(('Projects Overview'!$B$2:$B$5021="DDM")*('Projects Overview'!$G$2:$G$5021="Risk Release")*('Projects Overview'!AI$2:AI$5021))</f>
        <v>0</v>
      </c>
      <c r="AA52" s="104" cm="1">
        <f t="array" ref="AA52">SUMPRODUCT(('Projects Overview'!$B$2:$B$5021="DDM")*('Projects Overview'!$G$2:$G$5021="Risk Release")*('Projects Overview'!AJ$2:AJ$5021))</f>
        <v>0</v>
      </c>
      <c r="AB52" s="104" cm="1">
        <f t="array" ref="AB52">SUMPRODUCT(('Projects Overview'!$B$2:$B$5021="DDM")*('Projects Overview'!$G$2:$G$5021="Risk Release")*('Projects Overview'!AK$2:AK$5021))</f>
        <v>0</v>
      </c>
      <c r="AC52" s="104" cm="1">
        <f t="array" ref="AC52">SUMPRODUCT(('Projects Overview'!$B$2:$B$5021="DDM")*('Projects Overview'!$G$2:$G$5021="Risk Release")*('Projects Overview'!AL$2:AL$5021))</f>
        <v>0</v>
      </c>
      <c r="AD52" s="104" cm="1">
        <f t="array" ref="AD52">SUMPRODUCT(('Projects Overview'!$B$2:$B$5021="DDM")*('Projects Overview'!$G$2:$G$5021="Risk Release")*('Projects Overview'!AM$2:AM$5021))</f>
        <v>0</v>
      </c>
      <c r="AE52" s="104" cm="1">
        <f t="array" ref="AE52">SUMPRODUCT(('Projects Overview'!$B$2:$B$5021="DDM")*('Projects Overview'!$G$2:$G$5021="Risk Release")*('Projects Overview'!AN$2:AN$5021))</f>
        <v>0</v>
      </c>
      <c r="AF52" s="104" cm="1">
        <f t="array" ref="AF52">SUMPRODUCT(('Projects Overview'!$B$2:$B$5021="DDM")*('Projects Overview'!$G$2:$G$5021="Risk Release")*('Projects Overview'!AO$2:AO$5021))</f>
        <v>0</v>
      </c>
      <c r="AG52" s="104" cm="1">
        <f t="array" ref="AG52">SUMPRODUCT(('Projects Overview'!$B$2:$B$5021="DDM")*('Projects Overview'!$G$2:$G$5021="Risk Release")*('Projects Overview'!AP$2:AP$5021))</f>
        <v>0</v>
      </c>
      <c r="AH52" s="104" cm="1">
        <f t="array" ref="AH52">SUMPRODUCT(('Projects Overview'!$B$2:$B$5021="DDM")*('Projects Overview'!$G$2:$G$5021="Risk Release")*('Projects Overview'!AQ$2:AQ$5021))</f>
        <v>0</v>
      </c>
      <c r="AI52" s="104" cm="1">
        <f t="array" ref="AI52">SUMPRODUCT(('Projects Overview'!$B$2:$B$5021="DDM")*('Projects Overview'!$G$2:$G$5021="Risk Release")*('Projects Overview'!AR$2:AR$5021))</f>
        <v>0</v>
      </c>
      <c r="AJ52" s="104" cm="1">
        <f t="array" ref="AJ52">SUMPRODUCT(('Projects Overview'!$B$2:$B$5021="DDM")*('Projects Overview'!$G$2:$G$5021="Risk Release")*('Projects Overview'!AS$2:AS$5021))</f>
        <v>0</v>
      </c>
      <c r="AK52" s="104" cm="1">
        <f t="array" ref="AK52">SUMPRODUCT(('Projects Overview'!$B$2:$B$5021="DDM")*('Projects Overview'!$G$2:$G$5021="Risk Release")*('Projects Overview'!AT$2:AT$5021))</f>
        <v>0</v>
      </c>
      <c r="AL52" s="104" cm="1">
        <f t="array" ref="AL52">SUMPRODUCT(('Projects Overview'!$B$2:$B$5021="DDM")*('Projects Overview'!$G$2:$G$5021="Risk Release")*('Projects Overview'!AU$2:AU$5021))</f>
        <v>0</v>
      </c>
      <c r="AM52" s="104" cm="1">
        <f t="array" ref="AM52">SUMPRODUCT(('Projects Overview'!$B$2:$B$5021="DDM")*('Projects Overview'!$G$2:$G$5021="Risk Release")*('Projects Overview'!AV$2:AV$5021))</f>
        <v>0</v>
      </c>
      <c r="AN52" s="9"/>
      <c r="AO52" s="89" t="s">
        <v>382</v>
      </c>
      <c r="AP52" s="125">
        <v>0</v>
      </c>
      <c r="AQ52" s="124">
        <v>0</v>
      </c>
      <c r="AR52" s="122">
        <v>0</v>
      </c>
      <c r="AS52" s="122">
        <v>0</v>
      </c>
      <c r="AT52" s="140">
        <v>0</v>
      </c>
      <c r="AU52" s="124">
        <v>300</v>
      </c>
      <c r="AV52" s="122">
        <v>0</v>
      </c>
      <c r="AW52" s="122">
        <v>8250.7999999999993</v>
      </c>
      <c r="AX52" s="123">
        <v>10751.199999999999</v>
      </c>
      <c r="AY52" s="124">
        <v>0</v>
      </c>
      <c r="AZ52" s="122">
        <v>0</v>
      </c>
      <c r="BA52" s="122">
        <v>0</v>
      </c>
      <c r="BB52" s="123">
        <v>0</v>
      </c>
      <c r="BE52" s="163"/>
    </row>
    <row r="53" spans="1:64" ht="14.5" customHeight="1" thickBot="1" x14ac:dyDescent="0.4">
      <c r="A53" s="222"/>
      <c r="B53" s="226"/>
      <c r="C53" s="3" t="s">
        <v>8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 cm="1">
        <f t="array" ref="I53">SUMPRODUCT(('Projects Overview'!$B$2:$B$5021="DDM")*('Projects Overview'!$G$2:$G$5021="Forecast")*('Projects Overview'!R$2:R$5021))</f>
        <v>0</v>
      </c>
      <c r="J53" s="104" cm="1">
        <f t="array" ref="J53">SUMPRODUCT(('Projects Overview'!$B$2:$B$5021="DDM")*('Projects Overview'!$G$2:$G$5021="Forecast")*('Projects Overview'!S$2:S$5021))</f>
        <v>0</v>
      </c>
      <c r="K53" s="104" cm="1">
        <f t="array" ref="K53">SUMPRODUCT(('Projects Overview'!$B$2:$B$5021="DDM")*('Projects Overview'!$G$2:$G$5021="Forecast")*('Projects Overview'!T$2:T$5021))</f>
        <v>0</v>
      </c>
      <c r="L53" s="104" cm="1">
        <f t="array" ref="L53">SUMPRODUCT(('Projects Overview'!$B$2:$B$5021="DDM")*('Projects Overview'!$G$2:$G$5021="Forecast")*('Projects Overview'!U$2:U$5021))</f>
        <v>0</v>
      </c>
      <c r="M53" s="104" cm="1">
        <f t="array" ref="M53">SUMPRODUCT(('Projects Overview'!$B$2:$B$5021="DDM")*('Projects Overview'!$G$2:$G$5021="Forecast")*('Projects Overview'!V$2:V$5021))</f>
        <v>0</v>
      </c>
      <c r="N53" s="104" cm="1">
        <f t="array" ref="N53">SUMPRODUCT(('Projects Overview'!$B$2:$B$5021="DDM")*('Projects Overview'!$G$2:$G$5021="Forecast")*('Projects Overview'!W$2:W$5021))</f>
        <v>0</v>
      </c>
      <c r="O53" s="104" cm="1">
        <f t="array" ref="O53">SUMPRODUCT(('Projects Overview'!$B$2:$B$5021="DDM")*('Projects Overview'!$G$2:$G$5021="Forecast")*('Projects Overview'!X$2:X$5021))</f>
        <v>0</v>
      </c>
      <c r="P53" s="104" cm="1">
        <f t="array" ref="P53">SUMPRODUCT(('Projects Overview'!$B$2:$B$5021="DDM")*('Projects Overview'!$G$2:$G$5021="Forecast")*('Projects Overview'!Y$2:Y$5021))</f>
        <v>0</v>
      </c>
      <c r="Q53" s="104" cm="1">
        <f t="array" ref="Q53">SUMPRODUCT(('Projects Overview'!$B$2:$B$5021="DDM")*('Projects Overview'!$G$2:$G$5021="Forecast")*('Projects Overview'!Z$2:Z$5021))</f>
        <v>0</v>
      </c>
      <c r="R53" s="104" cm="1">
        <f t="array" ref="R53">SUMPRODUCT(('Projects Overview'!$B$2:$B$5021="DDM")*('Projects Overview'!$G$2:$G$5021="Forecast")*('Projects Overview'!AA$2:AA$5021))</f>
        <v>0</v>
      </c>
      <c r="S53" s="104" cm="1">
        <f t="array" ref="S53">SUMPRODUCT(('Projects Overview'!$B$2:$B$5021="DDM")*('Projects Overview'!$G$2:$G$5021="Forecast")*('Projects Overview'!AB$2:AB$5021))</f>
        <v>700</v>
      </c>
      <c r="T53" s="104" cm="1">
        <f t="array" ref="T53">SUMPRODUCT(('Projects Overview'!$B$2:$B$5021="DDM")*('Projects Overview'!$G$2:$G$5021="Forecast")*('Projects Overview'!AC$2:AC$5021))</f>
        <v>700</v>
      </c>
      <c r="U53" s="104" cm="1">
        <f t="array" ref="U53">SUMPRODUCT(('Projects Overview'!$B$2:$B$5021="DDM")*('Projects Overview'!$G$2:$G$5021="Forecast")*('Projects Overview'!AD$2:AD$5021))</f>
        <v>0</v>
      </c>
      <c r="V53" s="104" cm="1">
        <f t="array" ref="V53">SUMPRODUCT(('Projects Overview'!$B$2:$B$5021="DDM")*('Projects Overview'!$G$2:$G$5021="Forecast")*('Projects Overview'!AE$2:AE$5021))</f>
        <v>333.33333333333331</v>
      </c>
      <c r="W53" s="104" cm="1">
        <f t="array" ref="W53">SUMPRODUCT(('Projects Overview'!$B$2:$B$5021="DDM")*('Projects Overview'!$G$2:$G$5021="Forecast")*('Projects Overview'!AF$2:AF$5021))</f>
        <v>333.33333333333331</v>
      </c>
      <c r="X53" s="104" cm="1">
        <f t="array" ref="X53">SUMPRODUCT(('Projects Overview'!$B$2:$B$5021="DDM")*('Projects Overview'!$G$2:$G$5021="Forecast")*('Projects Overview'!AG$2:AG$5021))</f>
        <v>333.33333333333331</v>
      </c>
      <c r="Y53" s="104" cm="1">
        <f t="array" ref="Y53">SUMPRODUCT(('Projects Overview'!$B$2:$B$5021="DDM")*('Projects Overview'!$G$2:$G$5021="Forecast")*('Projects Overview'!AH$2:AH$5021))</f>
        <v>0</v>
      </c>
      <c r="Z53" s="104" cm="1">
        <f t="array" ref="Z53">SUMPRODUCT(('Projects Overview'!$B$2:$B$5021="DDM")*('Projects Overview'!$G$2:$G$5021="Forecast")*('Projects Overview'!AI$2:AI$5021))</f>
        <v>700</v>
      </c>
      <c r="AA53" s="104" cm="1">
        <f t="array" ref="AA53">SUMPRODUCT(('Projects Overview'!$B$2:$B$5021="DDM")*('Projects Overview'!$G$2:$G$5021="Forecast")*('Projects Overview'!AJ$2:AJ$5021))</f>
        <v>700</v>
      </c>
      <c r="AB53" s="104" cm="1">
        <f t="array" ref="AB53">SUMPRODUCT(('Projects Overview'!$B$2:$B$5021="DDM")*('Projects Overview'!$G$2:$G$5021="Forecast")*('Projects Overview'!AK$2:AK$5021))</f>
        <v>250</v>
      </c>
      <c r="AC53" s="104" cm="1">
        <f t="array" ref="AC53">SUMPRODUCT(('Projects Overview'!$B$2:$B$5021="DDM")*('Projects Overview'!$G$2:$G$5021="Forecast")*('Projects Overview'!AL$2:AL$5021))</f>
        <v>250</v>
      </c>
      <c r="AD53" s="104" cm="1">
        <f t="array" ref="AD53">SUMPRODUCT(('Projects Overview'!$B$2:$B$5021="DDM")*('Projects Overview'!$G$2:$G$5021="Forecast")*('Projects Overview'!AM$2:AM$5021))</f>
        <v>583.33333333333326</v>
      </c>
      <c r="AE53" s="104" cm="1">
        <f t="array" ref="AE53">SUMPRODUCT(('Projects Overview'!$B$2:$B$5021="DDM")*('Projects Overview'!$G$2:$G$5021="Forecast")*('Projects Overview'!AN$2:AN$5021))</f>
        <v>583.33333333333326</v>
      </c>
      <c r="AF53" s="104" cm="1">
        <f t="array" ref="AF53">SUMPRODUCT(('Projects Overview'!$B$2:$B$5021="DDM")*('Projects Overview'!$G$2:$G$5021="Forecast")*('Projects Overview'!AO$2:AO$5021))</f>
        <v>583.33333333333326</v>
      </c>
      <c r="AG53" s="104" cm="1">
        <f t="array" ref="AG53">SUMPRODUCT(('Projects Overview'!$B$2:$B$5021="DDM")*('Projects Overview'!$G$2:$G$5021="Forecast")*('Projects Overview'!AP$2:AP$5021))</f>
        <v>250</v>
      </c>
      <c r="AH53" s="104" cm="1">
        <f t="array" ref="AH53">SUMPRODUCT(('Projects Overview'!$B$2:$B$5021="DDM")*('Projects Overview'!$G$2:$G$5021="Forecast")*('Projects Overview'!AQ$2:AQ$5021))</f>
        <v>0</v>
      </c>
      <c r="AI53" s="104" cm="1">
        <f t="array" ref="AI53">SUMPRODUCT(('Projects Overview'!$B$2:$B$5021="DDM")*('Projects Overview'!$G$2:$G$5021="Forecast")*('Projects Overview'!AR$2:AR$5021))</f>
        <v>0</v>
      </c>
      <c r="AJ53" s="104" cm="1">
        <f t="array" ref="AJ53">SUMPRODUCT(('Projects Overview'!$B$2:$B$5021="DDM")*('Projects Overview'!$G$2:$G$5021="Forecast")*('Projects Overview'!AS$2:AS$5021))</f>
        <v>0</v>
      </c>
      <c r="AK53" s="104" cm="1">
        <f t="array" ref="AK53">SUMPRODUCT(('Projects Overview'!$B$2:$B$5021="DDM")*('Projects Overview'!$G$2:$G$5021="Forecast")*('Projects Overview'!AT$2:AT$5021))</f>
        <v>0</v>
      </c>
      <c r="AL53" s="104" cm="1">
        <f t="array" ref="AL53">SUMPRODUCT(('Projects Overview'!$B$2:$B$5021="DDM")*('Projects Overview'!$G$2:$G$5021="Forecast")*('Projects Overview'!AU$2:AU$5021))</f>
        <v>0</v>
      </c>
      <c r="AM53" s="104" cm="1">
        <f t="array" ref="AM53">SUMPRODUCT(('Projects Overview'!$B$2:$B$5021="DDM")*('Projects Overview'!$G$2:$G$5021="Forecast")*('Projects Overview'!AV$2:AV$5021))</f>
        <v>0</v>
      </c>
      <c r="AN53" s="9"/>
      <c r="AO53" s="89" t="s">
        <v>383</v>
      </c>
      <c r="AP53" s="125">
        <v>0</v>
      </c>
      <c r="AQ53" s="124">
        <v>0</v>
      </c>
      <c r="AR53" s="122">
        <v>0</v>
      </c>
      <c r="AS53" s="122">
        <v>0</v>
      </c>
      <c r="AT53" s="140">
        <v>0</v>
      </c>
      <c r="AU53" s="124">
        <v>1250.6666666666665</v>
      </c>
      <c r="AV53" s="122">
        <v>3919.9999999999995</v>
      </c>
      <c r="AW53" s="122">
        <v>4344</v>
      </c>
      <c r="AX53" s="123">
        <v>2609.333333333333</v>
      </c>
      <c r="AY53" s="124">
        <v>1500</v>
      </c>
      <c r="AZ53" s="122">
        <v>1000</v>
      </c>
      <c r="BA53" s="122">
        <v>0</v>
      </c>
      <c r="BB53" s="123">
        <v>0</v>
      </c>
    </row>
    <row r="54" spans="1:64" ht="14.5" customHeight="1" thickBot="1" x14ac:dyDescent="0.4">
      <c r="A54" s="222"/>
      <c r="B54" s="224" t="s">
        <v>133</v>
      </c>
      <c r="C54" s="1" t="s">
        <v>4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 cm="1">
        <f t="array" ref="I54">SUMPRODUCT(('Projects Overview'!$B$2:$B$5021="Dolly")*('Projects Overview'!$G$2:$G$5021="Firm")*('Projects Overview'!R$2:R$5021))</f>
        <v>0</v>
      </c>
      <c r="J54" s="104" cm="1">
        <f t="array" ref="J54">SUMPRODUCT(('Projects Overview'!$B$2:$B$5021="Dolly")*('Projects Overview'!$G$2:$G$5021="Firm")*('Projects Overview'!S$2:S$5021))</f>
        <v>0</v>
      </c>
      <c r="K54" s="104" cm="1">
        <f t="array" ref="K54">SUMPRODUCT(('Projects Overview'!$B$2:$B$5021="Dolly")*('Projects Overview'!$G$2:$G$5021="Firm")*('Projects Overview'!T$2:T$5021))</f>
        <v>0</v>
      </c>
      <c r="L54" s="104" cm="1">
        <f t="array" ref="L54">SUMPRODUCT(('Projects Overview'!$B$2:$B$5021="Dolly")*('Projects Overview'!$G$2:$G$5021="Firm")*('Projects Overview'!U$2:U$5021))</f>
        <v>0</v>
      </c>
      <c r="M54" s="104" cm="1">
        <f t="array" ref="M54">SUMPRODUCT(('Projects Overview'!$B$2:$B$5021="Dolly")*('Projects Overview'!$G$2:$G$5021="Firm")*('Projects Overview'!V$2:V$5021))</f>
        <v>0</v>
      </c>
      <c r="N54" s="104" cm="1">
        <f t="array" ref="N54">SUMPRODUCT(('Projects Overview'!$B$2:$B$5021="Dolly")*('Projects Overview'!$G$2:$G$5021="Firm")*('Projects Overview'!W$2:W$5021))</f>
        <v>0</v>
      </c>
      <c r="O54" s="104" cm="1">
        <f t="array" ref="O54">SUMPRODUCT(('Projects Overview'!$B$2:$B$5021="Dolly")*('Projects Overview'!$G$2:$G$5021="Firm")*('Projects Overview'!X$2:X$5021))</f>
        <v>0</v>
      </c>
      <c r="P54" s="104" cm="1">
        <f t="array" ref="P54">SUMPRODUCT(('Projects Overview'!$B$2:$B$5021="Dolly")*('Projects Overview'!$G$2:$G$5021="Firm")*('Projects Overview'!Y$2:Y$5021))</f>
        <v>0</v>
      </c>
      <c r="Q54" s="104" cm="1">
        <f t="array" ref="Q54">SUMPRODUCT(('Projects Overview'!$B$2:$B$5021="Dolly")*('Projects Overview'!$G$2:$G$5021="Firm")*('Projects Overview'!Z$2:Z$5021))</f>
        <v>0</v>
      </c>
      <c r="R54" s="104" cm="1">
        <f t="array" ref="R54">SUMPRODUCT(('Projects Overview'!$B$2:$B$5021="Dolly")*('Projects Overview'!$G$2:$G$5021="Firm")*('Projects Overview'!AA$2:AA$5021))</f>
        <v>0</v>
      </c>
      <c r="S54" s="104" cm="1">
        <f t="array" ref="S54">SUMPRODUCT(('Projects Overview'!$B$2:$B$5021="Dolly")*('Projects Overview'!$G$2:$G$5021="Firm")*('Projects Overview'!AB$2:AB$5021))</f>
        <v>0</v>
      </c>
      <c r="T54" s="104" cm="1">
        <f t="array" ref="T54">SUMPRODUCT(('Projects Overview'!$B$2:$B$5021="Dolly")*('Projects Overview'!$G$2:$G$5021="Firm")*('Projects Overview'!AC$2:AC$5021))</f>
        <v>0</v>
      </c>
      <c r="U54" s="104" cm="1">
        <f t="array" ref="U54">SUMPRODUCT(('Projects Overview'!$B$2:$B$5021="Dolly")*('Projects Overview'!$G$2:$G$5021="Firm")*('Projects Overview'!AD$2:AD$5021))</f>
        <v>0</v>
      </c>
      <c r="V54" s="104" cm="1">
        <f t="array" ref="V54">SUMPRODUCT(('Projects Overview'!$B$2:$B$5021="Dolly")*('Projects Overview'!$G$2:$G$5021="Firm")*('Projects Overview'!AE$2:AE$5021))</f>
        <v>0</v>
      </c>
      <c r="W54" s="104" cm="1">
        <f t="array" ref="W54">SUMPRODUCT(('Projects Overview'!$B$2:$B$5021="Dolly")*('Projects Overview'!$G$2:$G$5021="Firm")*('Projects Overview'!AF$2:AF$5021))</f>
        <v>0</v>
      </c>
      <c r="X54" s="104" cm="1">
        <f t="array" ref="X54">SUMPRODUCT(('Projects Overview'!$B$2:$B$5021="Dolly")*('Projects Overview'!$G$2:$G$5021="Firm")*('Projects Overview'!AG$2:AG$5021))</f>
        <v>0</v>
      </c>
      <c r="Y54" s="104" cm="1">
        <f t="array" ref="Y54">SUMPRODUCT(('Projects Overview'!$B$2:$B$5021="Dolly")*('Projects Overview'!$G$2:$G$5021="Firm")*('Projects Overview'!AH$2:AH$5021))</f>
        <v>0</v>
      </c>
      <c r="Z54" s="104" cm="1">
        <f t="array" ref="Z54">SUMPRODUCT(('Projects Overview'!$B$2:$B$5021="Dolly")*('Projects Overview'!$G$2:$G$5021="Firm")*('Projects Overview'!AI$2:AI$5021))</f>
        <v>0</v>
      </c>
      <c r="AA54" s="104" cm="1">
        <f t="array" ref="AA54">SUMPRODUCT(('Projects Overview'!$B$2:$B$5021="Dolly")*('Projects Overview'!$G$2:$G$5021="Firm")*('Projects Overview'!AJ$2:AJ$5021))</f>
        <v>0</v>
      </c>
      <c r="AB54" s="104" cm="1">
        <f t="array" ref="AB54">SUMPRODUCT(('Projects Overview'!$B$2:$B$5021="Dolly")*('Projects Overview'!$G$2:$G$5021="Firm")*('Projects Overview'!AK$2:AK$5021))</f>
        <v>0</v>
      </c>
      <c r="AC54" s="104" cm="1">
        <f t="array" ref="AC54">SUMPRODUCT(('Projects Overview'!$B$2:$B$5021="Dolly")*('Projects Overview'!$G$2:$G$5021="Firm")*('Projects Overview'!AL$2:AL$5021))</f>
        <v>0</v>
      </c>
      <c r="AD54" s="104" cm="1">
        <f t="array" ref="AD54">SUMPRODUCT(('Projects Overview'!$B$2:$B$5021="Dolly")*('Projects Overview'!$G$2:$G$5021="Firm")*('Projects Overview'!AM$2:AM$5021))</f>
        <v>0</v>
      </c>
      <c r="AE54" s="104" cm="1">
        <f t="array" ref="AE54">SUMPRODUCT(('Projects Overview'!$B$2:$B$5021="Dolly")*('Projects Overview'!$G$2:$G$5021="Firm")*('Projects Overview'!AN$2:AN$5021))</f>
        <v>0</v>
      </c>
      <c r="AF54" s="104" cm="1">
        <f t="array" ref="AF54">SUMPRODUCT(('Projects Overview'!$B$2:$B$5021="Dolly")*('Projects Overview'!$G$2:$G$5021="Firm")*('Projects Overview'!AO$2:AO$5021))</f>
        <v>0</v>
      </c>
      <c r="AG54" s="104" cm="1">
        <f t="array" ref="AG54">SUMPRODUCT(('Projects Overview'!$B$2:$B$5021="Dolly")*('Projects Overview'!$G$2:$G$5021="Firm")*('Projects Overview'!AP$2:AP$5021))</f>
        <v>0</v>
      </c>
      <c r="AH54" s="104" cm="1">
        <f t="array" ref="AH54">SUMPRODUCT(('Projects Overview'!$B$2:$B$5021="Dolly")*('Projects Overview'!$G$2:$G$5021="Firm")*('Projects Overview'!AQ$2:AQ$5021))</f>
        <v>0</v>
      </c>
      <c r="AI54" s="104" cm="1">
        <f t="array" ref="AI54">SUMPRODUCT(('Projects Overview'!$B$2:$B$5021="Dolly")*('Projects Overview'!$G$2:$G$5021="Firm")*('Projects Overview'!AR$2:AR$5021))</f>
        <v>0</v>
      </c>
      <c r="AJ54" s="104" cm="1">
        <f t="array" ref="AJ54">SUMPRODUCT(('Projects Overview'!$B$2:$B$5021="Dolly")*('Projects Overview'!$G$2:$G$5021="Firm")*('Projects Overview'!AS$2:AS$5021))</f>
        <v>0</v>
      </c>
      <c r="AK54" s="104" cm="1">
        <f t="array" ref="AK54">SUMPRODUCT(('Projects Overview'!$B$2:$B$5021="Dolly")*('Projects Overview'!$G$2:$G$5021="Firm")*('Projects Overview'!AT$2:AT$5021))</f>
        <v>0</v>
      </c>
      <c r="AL54" s="104" cm="1">
        <f t="array" ref="AL54">SUMPRODUCT(('Projects Overview'!$B$2:$B$5021="Dolly")*('Projects Overview'!$G$2:$G$5021="Firm")*('Projects Overview'!AU$2:AU$5021))</f>
        <v>0</v>
      </c>
      <c r="AM54" s="104" cm="1">
        <f t="array" ref="AM54">SUMPRODUCT(('Projects Overview'!$B$2:$B$5021="Dolly")*('Projects Overview'!$G$2:$G$5021="Firm")*('Projects Overview'!AV$2:AV$5021))</f>
        <v>0</v>
      </c>
      <c r="AN54" s="9"/>
      <c r="AO54" s="89" t="s">
        <v>384</v>
      </c>
      <c r="AP54" s="125">
        <v>0</v>
      </c>
      <c r="AQ54" s="124">
        <v>0</v>
      </c>
      <c r="AR54" s="122">
        <v>0</v>
      </c>
      <c r="AS54" s="122">
        <v>0</v>
      </c>
      <c r="AT54" s="140">
        <v>0</v>
      </c>
      <c r="AU54" s="124">
        <v>1682.0000000000002</v>
      </c>
      <c r="AV54" s="122">
        <v>6560</v>
      </c>
      <c r="AW54" s="122">
        <v>3325.3333333333335</v>
      </c>
      <c r="AX54" s="123">
        <v>2116.666666666667</v>
      </c>
      <c r="AY54" s="124">
        <v>1083.3333333333333</v>
      </c>
      <c r="AZ54" s="122">
        <v>833.33333333333326</v>
      </c>
      <c r="BA54" s="122">
        <v>0</v>
      </c>
      <c r="BB54" s="123">
        <v>0</v>
      </c>
      <c r="BE54" s="160"/>
    </row>
    <row r="55" spans="1:64" ht="14.5" customHeight="1" thickBot="1" x14ac:dyDescent="0.4">
      <c r="A55" s="222"/>
      <c r="B55" s="225"/>
      <c r="C55" s="2" t="s">
        <v>6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 cm="1">
        <f t="array" ref="I55">SUMPRODUCT(('Projects Overview'!$B$2:$B$5021="Dolly")*('Projects Overview'!$G$2:$G$5021="Risk Release")*('Projects Overview'!R$2:R$5021))</f>
        <v>0</v>
      </c>
      <c r="J55" s="104" cm="1">
        <f t="array" ref="J55">SUMPRODUCT(('Projects Overview'!$B$2:$B$5021="Dolly")*('Projects Overview'!$G$2:$G$5021="Risk Release")*('Projects Overview'!S$2:S$5021))</f>
        <v>0</v>
      </c>
      <c r="K55" s="104" cm="1">
        <f t="array" ref="K55">SUMPRODUCT(('Projects Overview'!$B$2:$B$5021="Dolly")*('Projects Overview'!$G$2:$G$5021="Risk Release")*('Projects Overview'!T$2:T$5021))</f>
        <v>0</v>
      </c>
      <c r="L55" s="104" cm="1">
        <f t="array" ref="L55">SUMPRODUCT(('Projects Overview'!$B$2:$B$5021="Dolly")*('Projects Overview'!$G$2:$G$5021="Risk Release")*('Projects Overview'!U$2:U$5021))</f>
        <v>0</v>
      </c>
      <c r="M55" s="104" cm="1">
        <f t="array" ref="M55">SUMPRODUCT(('Projects Overview'!$B$2:$B$5021="Dolly")*('Projects Overview'!$G$2:$G$5021="Risk Release")*('Projects Overview'!V$2:V$5021))</f>
        <v>0</v>
      </c>
      <c r="N55" s="104" cm="1">
        <f t="array" ref="N55">SUMPRODUCT(('Projects Overview'!$B$2:$B$5021="Dolly")*('Projects Overview'!$G$2:$G$5021="Risk Release")*('Projects Overview'!W$2:W$5021))</f>
        <v>0</v>
      </c>
      <c r="O55" s="104" cm="1">
        <f t="array" ref="O55">SUMPRODUCT(('Projects Overview'!$B$2:$B$5021="Dolly")*('Projects Overview'!$G$2:$G$5021="Risk Release")*('Projects Overview'!X$2:X$5021))</f>
        <v>0</v>
      </c>
      <c r="P55" s="104" cm="1">
        <f t="array" ref="P55">SUMPRODUCT(('Projects Overview'!$B$2:$B$5021="Dolly")*('Projects Overview'!$G$2:$G$5021="Risk Release")*('Projects Overview'!Y$2:Y$5021))</f>
        <v>0</v>
      </c>
      <c r="Q55" s="104" cm="1">
        <f t="array" ref="Q55">SUMPRODUCT(('Projects Overview'!$B$2:$B$5021="Dolly")*('Projects Overview'!$G$2:$G$5021="Risk Release")*('Projects Overview'!Z$2:Z$5021))</f>
        <v>0</v>
      </c>
      <c r="R55" s="104" cm="1">
        <f t="array" ref="R55">SUMPRODUCT(('Projects Overview'!$B$2:$B$5021="Dolly")*('Projects Overview'!$G$2:$G$5021="Risk Release")*('Projects Overview'!AA$2:AA$5021))</f>
        <v>0</v>
      </c>
      <c r="S55" s="104" cm="1">
        <f t="array" ref="S55">SUMPRODUCT(('Projects Overview'!$B$2:$B$5021="Dolly")*('Projects Overview'!$G$2:$G$5021="Risk Release")*('Projects Overview'!AB$2:AB$5021))</f>
        <v>0</v>
      </c>
      <c r="T55" s="104" cm="1">
        <f t="array" ref="T55">SUMPRODUCT(('Projects Overview'!$B$2:$B$5021="Dolly")*('Projects Overview'!$G$2:$G$5021="Risk Release")*('Projects Overview'!AC$2:AC$5021))</f>
        <v>0</v>
      </c>
      <c r="U55" s="104" cm="1">
        <f t="array" ref="U55">SUMPRODUCT(('Projects Overview'!$B$2:$B$5021="Dolly")*('Projects Overview'!$G$2:$G$5021="Risk Release")*('Projects Overview'!AD$2:AD$5021))</f>
        <v>0</v>
      </c>
      <c r="V55" s="104" cm="1">
        <f t="array" ref="V55">SUMPRODUCT(('Projects Overview'!$B$2:$B$5021="Dolly")*('Projects Overview'!$G$2:$G$5021="Risk Release")*('Projects Overview'!AE$2:AE$5021))</f>
        <v>0</v>
      </c>
      <c r="W55" s="104" cm="1">
        <f t="array" ref="W55">SUMPRODUCT(('Projects Overview'!$B$2:$B$5021="Dolly")*('Projects Overview'!$G$2:$G$5021="Risk Release")*('Projects Overview'!AF$2:AF$5021))</f>
        <v>0</v>
      </c>
      <c r="X55" s="104" cm="1">
        <f t="array" ref="X55">SUMPRODUCT(('Projects Overview'!$B$2:$B$5021="Dolly")*('Projects Overview'!$G$2:$G$5021="Risk Release")*('Projects Overview'!AG$2:AG$5021))</f>
        <v>0</v>
      </c>
      <c r="Y55" s="104" cm="1">
        <f t="array" ref="Y55">SUMPRODUCT(('Projects Overview'!$B$2:$B$5021="Dolly")*('Projects Overview'!$G$2:$G$5021="Risk Release")*('Projects Overview'!AH$2:AH$5021))</f>
        <v>0</v>
      </c>
      <c r="Z55" s="104" cm="1">
        <f t="array" ref="Z55">SUMPRODUCT(('Projects Overview'!$B$2:$B$5021="Dolly")*('Projects Overview'!$G$2:$G$5021="Risk Release")*('Projects Overview'!AI$2:AI$5021))</f>
        <v>0</v>
      </c>
      <c r="AA55" s="104" cm="1">
        <f t="array" ref="AA55">SUMPRODUCT(('Projects Overview'!$B$2:$B$5021="Dolly")*('Projects Overview'!$G$2:$G$5021="Risk Release")*('Projects Overview'!AJ$2:AJ$5021))</f>
        <v>0</v>
      </c>
      <c r="AB55" s="104" cm="1">
        <f t="array" ref="AB55">SUMPRODUCT(('Projects Overview'!$B$2:$B$5021="Dolly")*('Projects Overview'!$G$2:$G$5021="Risk Release")*('Projects Overview'!AK$2:AK$5021))</f>
        <v>0</v>
      </c>
      <c r="AC55" s="104" cm="1">
        <f t="array" ref="AC55">SUMPRODUCT(('Projects Overview'!$B$2:$B$5021="Dolly")*('Projects Overview'!$G$2:$G$5021="Risk Release")*('Projects Overview'!AL$2:AL$5021))</f>
        <v>0</v>
      </c>
      <c r="AD55" s="104" cm="1">
        <f t="array" ref="AD55">SUMPRODUCT(('Projects Overview'!$B$2:$B$5021="Dolly")*('Projects Overview'!$G$2:$G$5021="Risk Release")*('Projects Overview'!AM$2:AM$5021))</f>
        <v>0</v>
      </c>
      <c r="AE55" s="104" cm="1">
        <f t="array" ref="AE55">SUMPRODUCT(('Projects Overview'!$B$2:$B$5021="Dolly")*('Projects Overview'!$G$2:$G$5021="Risk Release")*('Projects Overview'!AN$2:AN$5021))</f>
        <v>0</v>
      </c>
      <c r="AF55" s="104" cm="1">
        <f t="array" ref="AF55">SUMPRODUCT(('Projects Overview'!$B$2:$B$5021="Dolly")*('Projects Overview'!$G$2:$G$5021="Risk Release")*('Projects Overview'!AO$2:AO$5021))</f>
        <v>0</v>
      </c>
      <c r="AG55" s="104" cm="1">
        <f t="array" ref="AG55">SUMPRODUCT(('Projects Overview'!$B$2:$B$5021="Dolly")*('Projects Overview'!$G$2:$G$5021="Risk Release")*('Projects Overview'!AP$2:AP$5021))</f>
        <v>0</v>
      </c>
      <c r="AH55" s="104" cm="1">
        <f t="array" ref="AH55">SUMPRODUCT(('Projects Overview'!$B$2:$B$5021="Dolly")*('Projects Overview'!$G$2:$G$5021="Risk Release")*('Projects Overview'!AQ$2:AQ$5021))</f>
        <v>0</v>
      </c>
      <c r="AI55" s="104" cm="1">
        <f t="array" ref="AI55">SUMPRODUCT(('Projects Overview'!$B$2:$B$5021="Dolly")*('Projects Overview'!$G$2:$G$5021="Risk Release")*('Projects Overview'!AR$2:AR$5021))</f>
        <v>0</v>
      </c>
      <c r="AJ55" s="104" cm="1">
        <f t="array" ref="AJ55">SUMPRODUCT(('Projects Overview'!$B$2:$B$5021="Dolly")*('Projects Overview'!$G$2:$G$5021="Risk Release")*('Projects Overview'!AS$2:AS$5021))</f>
        <v>0</v>
      </c>
      <c r="AK55" s="104" cm="1">
        <f t="array" ref="AK55">SUMPRODUCT(('Projects Overview'!$B$2:$B$5021="Dolly")*('Projects Overview'!$G$2:$G$5021="Risk Release")*('Projects Overview'!AT$2:AT$5021))</f>
        <v>0</v>
      </c>
      <c r="AL55" s="104" cm="1">
        <f t="array" ref="AL55">SUMPRODUCT(('Projects Overview'!$B$2:$B$5021="Dolly")*('Projects Overview'!$G$2:$G$5021="Risk Release")*('Projects Overview'!AU$2:AU$5021))</f>
        <v>0</v>
      </c>
      <c r="AM55" s="104" cm="1">
        <f t="array" ref="AM55">SUMPRODUCT(('Projects Overview'!$B$2:$B$5021="Dolly")*('Projects Overview'!$G$2:$G$5021="Risk Release")*('Projects Overview'!AV$2:AV$5021))</f>
        <v>0</v>
      </c>
      <c r="AN55" s="9"/>
      <c r="AO55" s="89" t="s">
        <v>385</v>
      </c>
      <c r="AP55" s="125">
        <v>0</v>
      </c>
      <c r="AQ55" s="124">
        <v>0</v>
      </c>
      <c r="AR55" s="122">
        <v>0</v>
      </c>
      <c r="AS55" s="122">
        <v>0</v>
      </c>
      <c r="AT55" s="140">
        <v>0</v>
      </c>
      <c r="AU55" s="124">
        <v>840</v>
      </c>
      <c r="AV55" s="122">
        <v>1390</v>
      </c>
      <c r="AW55" s="122">
        <v>1980</v>
      </c>
      <c r="AX55" s="123">
        <v>1980</v>
      </c>
      <c r="AY55" s="124">
        <v>0</v>
      </c>
      <c r="AZ55" s="122">
        <v>0</v>
      </c>
      <c r="BA55" s="122">
        <v>0</v>
      </c>
      <c r="BB55" s="123">
        <v>0</v>
      </c>
      <c r="BE55" s="58"/>
    </row>
    <row r="56" spans="1:64" ht="14.5" customHeight="1" thickBot="1" x14ac:dyDescent="0.4">
      <c r="A56" s="222"/>
      <c r="B56" s="226"/>
      <c r="C56" s="3" t="s">
        <v>8</v>
      </c>
      <c r="D56" s="104">
        <v>0</v>
      </c>
      <c r="E56" s="104">
        <v>0</v>
      </c>
      <c r="F56" s="104">
        <v>0</v>
      </c>
      <c r="G56" s="104">
        <v>0</v>
      </c>
      <c r="H56" s="104">
        <v>0</v>
      </c>
      <c r="I56" s="104" cm="1">
        <f t="array" ref="I56">SUMPRODUCT(('Projects Overview'!$B$2:$B$5021="Dolly")*('Projects Overview'!$G$2:$G$5021="Forecast")*('Projects Overview'!R$2:R$5021))</f>
        <v>0</v>
      </c>
      <c r="J56" s="104" cm="1">
        <f t="array" ref="J56">SUMPRODUCT(('Projects Overview'!$B$2:$B$5021="Dolly")*('Projects Overview'!$G$2:$G$5021="Forecast")*('Projects Overview'!S$2:S$5021))</f>
        <v>0</v>
      </c>
      <c r="K56" s="104" cm="1">
        <f t="array" ref="K56">SUMPRODUCT(('Projects Overview'!$B$2:$B$5021="Dolly")*('Projects Overview'!$G$2:$G$5021="Forecast")*('Projects Overview'!T$2:T$5021))</f>
        <v>0</v>
      </c>
      <c r="L56" s="104" cm="1">
        <f t="array" ref="L56">SUMPRODUCT(('Projects Overview'!$B$2:$B$5021="Dolly")*('Projects Overview'!$G$2:$G$5021="Forecast")*('Projects Overview'!U$2:U$5021))</f>
        <v>0</v>
      </c>
      <c r="M56" s="104" cm="1">
        <f t="array" ref="M56">SUMPRODUCT(('Projects Overview'!$B$2:$B$5021="Dolly")*('Projects Overview'!$G$2:$G$5021="Forecast")*('Projects Overview'!V$2:V$5021))</f>
        <v>0</v>
      </c>
      <c r="N56" s="104" cm="1">
        <f t="array" ref="N56">SUMPRODUCT(('Projects Overview'!$B$2:$B$5021="Dolly")*('Projects Overview'!$G$2:$G$5021="Forecast")*('Projects Overview'!W$2:W$5021))</f>
        <v>0</v>
      </c>
      <c r="O56" s="104" cm="1">
        <f t="array" ref="O56">SUMPRODUCT(('Projects Overview'!$B$2:$B$5021="Dolly")*('Projects Overview'!$G$2:$G$5021="Forecast")*('Projects Overview'!X$2:X$5021))</f>
        <v>0</v>
      </c>
      <c r="P56" s="104" cm="1">
        <f t="array" ref="P56">SUMPRODUCT(('Projects Overview'!$B$2:$B$5021="Dolly")*('Projects Overview'!$G$2:$G$5021="Forecast")*('Projects Overview'!Y$2:Y$5021))</f>
        <v>0</v>
      </c>
      <c r="Q56" s="104" cm="1">
        <f t="array" ref="Q56">SUMPRODUCT(('Projects Overview'!$B$2:$B$5021="Dolly")*('Projects Overview'!$G$2:$G$5021="Forecast")*('Projects Overview'!Z$2:Z$5021))</f>
        <v>0</v>
      </c>
      <c r="R56" s="104" cm="1">
        <f t="array" ref="R56">SUMPRODUCT(('Projects Overview'!$B$2:$B$5021="Dolly")*('Projects Overview'!$G$2:$G$5021="Forecast")*('Projects Overview'!AA$2:AA$5021))</f>
        <v>0</v>
      </c>
      <c r="S56" s="104" cm="1">
        <f t="array" ref="S56">SUMPRODUCT(('Projects Overview'!$B$2:$B$5021="Dolly")*('Projects Overview'!$G$2:$G$5021="Forecast")*('Projects Overview'!AB$2:AB$5021))</f>
        <v>0</v>
      </c>
      <c r="T56" s="104" cm="1">
        <f t="array" ref="T56">SUMPRODUCT(('Projects Overview'!$B$2:$B$5021="Dolly")*('Projects Overview'!$G$2:$G$5021="Forecast")*('Projects Overview'!AC$2:AC$5021))</f>
        <v>0</v>
      </c>
      <c r="U56" s="104" cm="1">
        <f t="array" ref="U56">SUMPRODUCT(('Projects Overview'!$B$2:$B$5021="Dolly")*('Projects Overview'!$G$2:$G$5021="Forecast")*('Projects Overview'!AD$2:AD$5021))</f>
        <v>0</v>
      </c>
      <c r="V56" s="104" cm="1">
        <f t="array" ref="V56">SUMPRODUCT(('Projects Overview'!$B$2:$B$5021="Dolly")*('Projects Overview'!$G$2:$G$5021="Forecast")*('Projects Overview'!AE$2:AE$5021))</f>
        <v>0</v>
      </c>
      <c r="W56" s="104" cm="1">
        <f t="array" ref="W56">SUMPRODUCT(('Projects Overview'!$B$2:$B$5021="Dolly")*('Projects Overview'!$G$2:$G$5021="Forecast")*('Projects Overview'!AF$2:AF$5021))</f>
        <v>0</v>
      </c>
      <c r="X56" s="104" cm="1">
        <f t="array" ref="X56">SUMPRODUCT(('Projects Overview'!$B$2:$B$5021="Dolly")*('Projects Overview'!$G$2:$G$5021="Forecast")*('Projects Overview'!AG$2:AG$5021))</f>
        <v>0</v>
      </c>
      <c r="Y56" s="104" cm="1">
        <f t="array" ref="Y56">SUMPRODUCT(('Projects Overview'!$B$2:$B$5021="Dolly")*('Projects Overview'!$G$2:$G$5021="Forecast")*('Projects Overview'!AH$2:AH$5021))</f>
        <v>0</v>
      </c>
      <c r="Z56" s="104" cm="1">
        <f t="array" ref="Z56">SUMPRODUCT(('Projects Overview'!$B$2:$B$5021="Dolly")*('Projects Overview'!$G$2:$G$5021="Forecast")*('Projects Overview'!AI$2:AI$5021))</f>
        <v>0</v>
      </c>
      <c r="AA56" s="104" cm="1">
        <f t="array" ref="AA56">SUMPRODUCT(('Projects Overview'!$B$2:$B$5021="Dolly")*('Projects Overview'!$G$2:$G$5021="Forecast")*('Projects Overview'!AJ$2:AJ$5021))</f>
        <v>0</v>
      </c>
      <c r="AB56" s="104" cm="1">
        <f t="array" ref="AB56">SUMPRODUCT(('Projects Overview'!$B$2:$B$5021="Dolly")*('Projects Overview'!$G$2:$G$5021="Forecast")*('Projects Overview'!AK$2:AK$5021))</f>
        <v>0</v>
      </c>
      <c r="AC56" s="104" cm="1">
        <f t="array" ref="AC56">SUMPRODUCT(('Projects Overview'!$B$2:$B$5021="Dolly")*('Projects Overview'!$G$2:$G$5021="Forecast")*('Projects Overview'!AL$2:AL$5021))</f>
        <v>0</v>
      </c>
      <c r="AD56" s="104" cm="1">
        <f t="array" ref="AD56">SUMPRODUCT(('Projects Overview'!$B$2:$B$5021="Dolly")*('Projects Overview'!$G$2:$G$5021="Forecast")*('Projects Overview'!AM$2:AM$5021))</f>
        <v>0</v>
      </c>
      <c r="AE56" s="104" cm="1">
        <f t="array" ref="AE56">SUMPRODUCT(('Projects Overview'!$B$2:$B$5021="Dolly")*('Projects Overview'!$G$2:$G$5021="Forecast")*('Projects Overview'!AN$2:AN$5021))</f>
        <v>0</v>
      </c>
      <c r="AF56" s="104" cm="1">
        <f t="array" ref="AF56">SUMPRODUCT(('Projects Overview'!$B$2:$B$5021="Dolly")*('Projects Overview'!$G$2:$G$5021="Forecast")*('Projects Overview'!AO$2:AO$5021))</f>
        <v>0</v>
      </c>
      <c r="AG56" s="104" cm="1">
        <f t="array" ref="AG56">SUMPRODUCT(('Projects Overview'!$B$2:$B$5021="Dolly")*('Projects Overview'!$G$2:$G$5021="Forecast")*('Projects Overview'!AP$2:AP$5021))</f>
        <v>0</v>
      </c>
      <c r="AH56" s="104" cm="1">
        <f t="array" ref="AH56">SUMPRODUCT(('Projects Overview'!$B$2:$B$5021="Dolly")*('Projects Overview'!$G$2:$G$5021="Forecast")*('Projects Overview'!AQ$2:AQ$5021))</f>
        <v>0</v>
      </c>
      <c r="AI56" s="104" cm="1">
        <f t="array" ref="AI56">SUMPRODUCT(('Projects Overview'!$B$2:$B$5021="Dolly")*('Projects Overview'!$G$2:$G$5021="Forecast")*('Projects Overview'!AR$2:AR$5021))</f>
        <v>0</v>
      </c>
      <c r="AJ56" s="104" cm="1">
        <f t="array" ref="AJ56">SUMPRODUCT(('Projects Overview'!$B$2:$B$5021="Dolly")*('Projects Overview'!$G$2:$G$5021="Forecast")*('Projects Overview'!AS$2:AS$5021))</f>
        <v>0</v>
      </c>
      <c r="AK56" s="104" cm="1">
        <f t="array" ref="AK56">SUMPRODUCT(('Projects Overview'!$B$2:$B$5021="Dolly")*('Projects Overview'!$G$2:$G$5021="Forecast")*('Projects Overview'!AT$2:AT$5021))</f>
        <v>0</v>
      </c>
      <c r="AL56" s="104" cm="1">
        <f t="array" ref="AL56">SUMPRODUCT(('Projects Overview'!$B$2:$B$5021="Dolly")*('Projects Overview'!$G$2:$G$5021="Forecast")*('Projects Overview'!AU$2:AU$5021))</f>
        <v>0</v>
      </c>
      <c r="AM56" s="104" cm="1">
        <f t="array" ref="AM56">SUMPRODUCT(('Projects Overview'!$B$2:$B$5021="Dolly")*('Projects Overview'!$G$2:$G$5021="Forecast")*('Projects Overview'!AV$2:AV$5021))</f>
        <v>0</v>
      </c>
      <c r="AN56" s="9"/>
      <c r="AO56" s="89" t="s">
        <v>386</v>
      </c>
      <c r="AP56" s="125">
        <v>20235.250000000004</v>
      </c>
      <c r="AQ56" s="124">
        <v>24156.000000000004</v>
      </c>
      <c r="AR56" s="122">
        <v>19791.400000000005</v>
      </c>
      <c r="AS56" s="122">
        <v>21494.320000000003</v>
      </c>
      <c r="AT56" s="140">
        <v>21112.400000000001</v>
      </c>
      <c r="AU56" s="124">
        <v>19630.600000000002</v>
      </c>
      <c r="AV56" s="122">
        <v>16261.2</v>
      </c>
      <c r="AW56" s="122">
        <v>17829.600000000002</v>
      </c>
      <c r="AX56" s="123">
        <v>20042.000000000004</v>
      </c>
      <c r="AY56" s="124">
        <v>20091</v>
      </c>
      <c r="AZ56" s="122">
        <v>20091</v>
      </c>
      <c r="BA56" s="122">
        <v>22022.000000000004</v>
      </c>
      <c r="BB56" s="123">
        <v>22022.000000000004</v>
      </c>
      <c r="BE56" s="8"/>
    </row>
    <row r="57" spans="1:64" ht="14.5" customHeight="1" thickBot="1" x14ac:dyDescent="0.4">
      <c r="A57" s="222"/>
      <c r="B57" s="224" t="s">
        <v>135</v>
      </c>
      <c r="C57" s="1" t="s">
        <v>4</v>
      </c>
      <c r="D57" s="104">
        <v>0</v>
      </c>
      <c r="E57" s="104">
        <v>146.66666666666666</v>
      </c>
      <c r="F57" s="104">
        <v>293.33333333333331</v>
      </c>
      <c r="G57" s="104">
        <v>293.33333333333331</v>
      </c>
      <c r="H57" s="104">
        <v>198</v>
      </c>
      <c r="I57" s="104" cm="1">
        <f t="array" ref="I57">SUMPRODUCT(('Projects Overview'!$B$2:$B$5021="BRC Gripper Head")*('Projects Overview'!$G$2:$G$5021="Firm")*('Projects Overview'!R$2:R$5021))</f>
        <v>309.52380952380952</v>
      </c>
      <c r="J57" s="104" cm="1">
        <f t="array" ref="J57">SUMPRODUCT(('Projects Overview'!$B$2:$B$5021="BRC Gripper Head")*('Projects Overview'!$G$2:$G$5021="Firm")*('Projects Overview'!S$2:S$5021))</f>
        <v>309.52380952380952</v>
      </c>
      <c r="K57" s="104" cm="1">
        <f t="array" ref="K57">SUMPRODUCT(('Projects Overview'!$B$2:$B$5021="BRC Gripper Head")*('Projects Overview'!$G$2:$G$5021="Firm")*('Projects Overview'!T$2:T$5021))</f>
        <v>110</v>
      </c>
      <c r="L57" s="104" cm="1">
        <f t="array" ref="L57">SUMPRODUCT(('Projects Overview'!$B$2:$B$5021="BRC Gripper Head")*('Projects Overview'!$G$2:$G$5021="Firm")*('Projects Overview'!U$2:U$5021))</f>
        <v>200</v>
      </c>
      <c r="M57" s="104" cm="1">
        <f t="array" ref="M57">SUMPRODUCT(('Projects Overview'!$B$2:$B$5021="BRC Gripper Head")*('Projects Overview'!$G$2:$G$5021="Firm")*('Projects Overview'!V$2:V$5021))</f>
        <v>800</v>
      </c>
      <c r="N57" s="104" cm="1">
        <f t="array" ref="N57">SUMPRODUCT(('Projects Overview'!$B$2:$B$5021="BRC Gripper Head")*('Projects Overview'!$G$2:$G$5021="Firm")*('Projects Overview'!W$2:W$5021))</f>
        <v>330</v>
      </c>
      <c r="O57" s="104" cm="1">
        <f t="array" ref="O57">SUMPRODUCT(('Projects Overview'!$B$2:$B$5021="BRC Gripper Head")*('Projects Overview'!$G$2:$G$5021="Firm")*('Projects Overview'!X$2:X$5021))</f>
        <v>522.66666666666674</v>
      </c>
      <c r="P57" s="104" cm="1">
        <f t="array" ref="P57">SUMPRODUCT(('Projects Overview'!$B$2:$B$5021="BRC Gripper Head")*('Projects Overview'!$G$2:$G$5021="Firm")*('Projects Overview'!Y$2:Y$5021))</f>
        <v>330</v>
      </c>
      <c r="Q57" s="104" cm="1">
        <f t="array" ref="Q57">SUMPRODUCT(('Projects Overview'!$B$2:$B$5021="BRC Gripper Head")*('Projects Overview'!$G$2:$G$5021="Firm")*('Projects Overview'!Z$2:Z$5021))</f>
        <v>390</v>
      </c>
      <c r="R57" s="104" cm="1">
        <f t="array" ref="R57">SUMPRODUCT(('Projects Overview'!$B$2:$B$5021="BRC Gripper Head")*('Projects Overview'!$G$2:$G$5021="Firm")*('Projects Overview'!AA$2:AA$5021))</f>
        <v>330</v>
      </c>
      <c r="S57" s="104" cm="1">
        <f t="array" ref="S57">SUMPRODUCT(('Projects Overview'!$B$2:$B$5021="BRC Gripper Head")*('Projects Overview'!$G$2:$G$5021="Firm")*('Projects Overview'!AB$2:AB$5021))</f>
        <v>146</v>
      </c>
      <c r="T57" s="104" cm="1">
        <f t="array" ref="T57">SUMPRODUCT(('Projects Overview'!$B$2:$B$5021="BRC Gripper Head")*('Projects Overview'!$G$2:$G$5021="Firm")*('Projects Overview'!AC$2:AC$5021))</f>
        <v>0</v>
      </c>
      <c r="U57" s="104" cm="1">
        <f t="array" ref="U57">SUMPRODUCT(('Projects Overview'!$B$2:$B$5021="BRC Gripper Head")*('Projects Overview'!$G$2:$G$5021="Firm")*('Projects Overview'!AD$2:AD$5021))</f>
        <v>0</v>
      </c>
      <c r="V57" s="104" cm="1">
        <f t="array" ref="V57">SUMPRODUCT(('Projects Overview'!$B$2:$B$5021="BRC Gripper Head")*('Projects Overview'!$G$2:$G$5021="Firm")*('Projects Overview'!AE$2:AE$5021))</f>
        <v>0</v>
      </c>
      <c r="W57" s="104" cm="1">
        <f t="array" ref="W57">SUMPRODUCT(('Projects Overview'!$B$2:$B$5021="BRC Gripper Head")*('Projects Overview'!$G$2:$G$5021="Firm")*('Projects Overview'!AF$2:AF$5021))</f>
        <v>0</v>
      </c>
      <c r="X57" s="104" cm="1">
        <f t="array" ref="X57">SUMPRODUCT(('Projects Overview'!$B$2:$B$5021="BRC Gripper Head")*('Projects Overview'!$G$2:$G$5021="Firm")*('Projects Overview'!AG$2:AG$5021))</f>
        <v>0</v>
      </c>
      <c r="Y57" s="104" cm="1">
        <f t="array" ref="Y57">SUMPRODUCT(('Projects Overview'!$B$2:$B$5021="BRC Gripper Head")*('Projects Overview'!$G$2:$G$5021="Firm")*('Projects Overview'!AH$2:AH$5021))</f>
        <v>0</v>
      </c>
      <c r="Z57" s="104" cm="1">
        <f t="array" ref="Z57">SUMPRODUCT(('Projects Overview'!$B$2:$B$5021="BRC Gripper Head")*('Projects Overview'!$G$2:$G$5021="Firm")*('Projects Overview'!AI$2:AI$5021))</f>
        <v>0</v>
      </c>
      <c r="AA57" s="104" cm="1">
        <f t="array" ref="AA57">SUMPRODUCT(('Projects Overview'!$B$2:$B$5021="BRC Gripper Head")*('Projects Overview'!$G$2:$G$5021="Firm")*('Projects Overview'!AJ$2:AJ$5021))</f>
        <v>0</v>
      </c>
      <c r="AB57" s="104" cm="1">
        <f t="array" ref="AB57">SUMPRODUCT(('Projects Overview'!$B$2:$B$5021="BRC Gripper Head")*('Projects Overview'!$G$2:$G$5021="Firm")*('Projects Overview'!AK$2:AK$5021))</f>
        <v>0</v>
      </c>
      <c r="AC57" s="104" cm="1">
        <f t="array" ref="AC57">SUMPRODUCT(('Projects Overview'!$B$2:$B$5021="BRC Gripper Head")*('Projects Overview'!$G$2:$G$5021="Firm")*('Projects Overview'!AL$2:AL$5021))</f>
        <v>0</v>
      </c>
      <c r="AD57" s="104" cm="1">
        <f t="array" ref="AD57">SUMPRODUCT(('Projects Overview'!$B$2:$B$5021="BRC Gripper Head")*('Projects Overview'!$G$2:$G$5021="Firm")*('Projects Overview'!AM$2:AM$5021))</f>
        <v>0</v>
      </c>
      <c r="AE57" s="104" cm="1">
        <f t="array" ref="AE57">SUMPRODUCT(('Projects Overview'!$B$2:$B$5021="BRC Gripper Head")*('Projects Overview'!$G$2:$G$5021="Firm")*('Projects Overview'!AN$2:AN$5021))</f>
        <v>0</v>
      </c>
      <c r="AF57" s="104" cm="1">
        <f t="array" ref="AF57">SUMPRODUCT(('Projects Overview'!$B$2:$B$5021="BRC Gripper Head")*('Projects Overview'!$G$2:$G$5021="Firm")*('Projects Overview'!AO$2:AO$5021))</f>
        <v>0</v>
      </c>
      <c r="AG57" s="104" cm="1">
        <f t="array" ref="AG57">SUMPRODUCT(('Projects Overview'!$B$2:$B$5021="BRC Gripper Head")*('Projects Overview'!$G$2:$G$5021="Firm")*('Projects Overview'!AP$2:AP$5021))</f>
        <v>0</v>
      </c>
      <c r="AH57" s="104" cm="1">
        <f t="array" ref="AH57">SUMPRODUCT(('Projects Overview'!$B$2:$B$5021="BRC Gripper Head")*('Projects Overview'!$G$2:$G$5021="Firm")*('Projects Overview'!AQ$2:AQ$5021))</f>
        <v>0</v>
      </c>
      <c r="AI57" s="104" cm="1">
        <f t="array" ref="AI57">SUMPRODUCT(('Projects Overview'!$B$2:$B$5021="BRC Gripper Head")*('Projects Overview'!$G$2:$G$5021="Firm")*('Projects Overview'!AR$2:AR$5021))</f>
        <v>0</v>
      </c>
      <c r="AJ57" s="104" cm="1">
        <f t="array" ref="AJ57">SUMPRODUCT(('Projects Overview'!$B$2:$B$5021="BRC Gripper Head")*('Projects Overview'!$G$2:$G$5021="Firm")*('Projects Overview'!AS$2:AS$5021))</f>
        <v>0</v>
      </c>
      <c r="AK57" s="104" cm="1">
        <f t="array" ref="AK57">SUMPRODUCT(('Projects Overview'!$B$2:$B$5021="BRC Gripper Head")*('Projects Overview'!$G$2:$G$5021="Firm")*('Projects Overview'!AT$2:AT$5021))</f>
        <v>0</v>
      </c>
      <c r="AL57" s="104" cm="1">
        <f t="array" ref="AL57">SUMPRODUCT(('Projects Overview'!$B$2:$B$5021="BRC Gripper Head")*('Projects Overview'!$G$2:$G$5021="Firm")*('Projects Overview'!AU$2:AU$5021))</f>
        <v>0</v>
      </c>
      <c r="AM57" s="104" cm="1">
        <f t="array" ref="AM57">SUMPRODUCT(('Projects Overview'!$B$2:$B$5021="BRC Gripper Head")*('Projects Overview'!$G$2:$G$5021="Firm")*('Projects Overview'!AV$2:AV$5021))</f>
        <v>0</v>
      </c>
      <c r="AN57" s="9"/>
      <c r="AO57" s="89" t="s">
        <v>387</v>
      </c>
      <c r="AP57" s="125">
        <v>32379.25</v>
      </c>
      <c r="AQ57" s="124">
        <v>33660</v>
      </c>
      <c r="AR57" s="122">
        <v>28978.600000000006</v>
      </c>
      <c r="AS57" s="122">
        <v>32504.880000000005</v>
      </c>
      <c r="AT57" s="140">
        <v>38466</v>
      </c>
      <c r="AU57" s="124">
        <v>37136.293333333335</v>
      </c>
      <c r="AV57" s="122">
        <v>21901.120000000003</v>
      </c>
      <c r="AW57" s="122">
        <v>22616.800000000003</v>
      </c>
      <c r="AX57" s="123">
        <v>26774.000000000004</v>
      </c>
      <c r="AY57" s="124">
        <v>20091</v>
      </c>
      <c r="AZ57" s="122" t="e">
        <v>#N/A</v>
      </c>
      <c r="BA57" s="122" t="e">
        <v>#N/A</v>
      </c>
      <c r="BB57" s="123" t="e">
        <v>#N/A</v>
      </c>
      <c r="BE57" s="160"/>
    </row>
    <row r="58" spans="1:64" ht="14.5" customHeight="1" thickBot="1" x14ac:dyDescent="0.4">
      <c r="A58" s="222"/>
      <c r="B58" s="225"/>
      <c r="C58" s="2" t="s">
        <v>6</v>
      </c>
      <c r="D58" s="104">
        <v>0</v>
      </c>
      <c r="E58" s="104">
        <v>0</v>
      </c>
      <c r="F58" s="104">
        <v>0</v>
      </c>
      <c r="G58" s="104">
        <v>0</v>
      </c>
      <c r="H58" s="104">
        <v>0</v>
      </c>
      <c r="I58" s="104" cm="1">
        <f t="array" ref="I58">SUMPRODUCT(('Projects Overview'!$B$2:$B$5021="BRC Gripper Head")*('Projects Overview'!$G$2:$G$5021="Risk Release")*('Projects Overview'!R$2:R$5021))</f>
        <v>0</v>
      </c>
      <c r="J58" s="104" cm="1">
        <f t="array" ref="J58">SUMPRODUCT(('Projects Overview'!$B$2:$B$5021="BRC Gripper Head")*('Projects Overview'!$G$2:$G$5021="Risk Release")*('Projects Overview'!S$2:S$5021))</f>
        <v>0</v>
      </c>
      <c r="K58" s="104" cm="1">
        <f t="array" ref="K58">SUMPRODUCT(('Projects Overview'!$B$2:$B$5021="BRC Gripper Head")*('Projects Overview'!$G$2:$G$5021="Risk Release")*('Projects Overview'!T$2:T$5021))</f>
        <v>0</v>
      </c>
      <c r="L58" s="104" cm="1">
        <f t="array" ref="L58">SUMPRODUCT(('Projects Overview'!$B$2:$B$5021="BRC Gripper Head")*('Projects Overview'!$G$2:$G$5021="Risk Release")*('Projects Overview'!U$2:U$5021))</f>
        <v>0</v>
      </c>
      <c r="M58" s="104" cm="1">
        <f t="array" ref="M58">SUMPRODUCT(('Projects Overview'!$B$2:$B$5021="BRC Gripper Head")*('Projects Overview'!$G$2:$G$5021="Risk Release")*('Projects Overview'!V$2:V$5021))</f>
        <v>0</v>
      </c>
      <c r="N58" s="104" cm="1">
        <f t="array" ref="N58">SUMPRODUCT(('Projects Overview'!$B$2:$B$5021="BRC Gripper Head")*('Projects Overview'!$G$2:$G$5021="Risk Release")*('Projects Overview'!W$2:W$5021))</f>
        <v>0</v>
      </c>
      <c r="O58" s="104" cm="1">
        <f t="array" ref="O58">SUMPRODUCT(('Projects Overview'!$B$2:$B$5021="BRC Gripper Head")*('Projects Overview'!$G$2:$G$5021="Risk Release")*('Projects Overview'!X$2:X$5021))</f>
        <v>0</v>
      </c>
      <c r="P58" s="104" cm="1">
        <f t="array" ref="P58">SUMPRODUCT(('Projects Overview'!$B$2:$B$5021="BRC Gripper Head")*('Projects Overview'!$G$2:$G$5021="Risk Release")*('Projects Overview'!Y$2:Y$5021))</f>
        <v>0</v>
      </c>
      <c r="Q58" s="104" cm="1">
        <f t="array" ref="Q58">SUMPRODUCT(('Projects Overview'!$B$2:$B$5021="BRC Gripper Head")*('Projects Overview'!$G$2:$G$5021="Risk Release")*('Projects Overview'!Z$2:Z$5021))</f>
        <v>0</v>
      </c>
      <c r="R58" s="104" cm="1">
        <f t="array" ref="R58">SUMPRODUCT(('Projects Overview'!$B$2:$B$5021="BRC Gripper Head")*('Projects Overview'!$G$2:$G$5021="Risk Release")*('Projects Overview'!AA$2:AA$5021))</f>
        <v>0</v>
      </c>
      <c r="S58" s="104" cm="1">
        <f t="array" ref="S58">SUMPRODUCT(('Projects Overview'!$B$2:$B$5021="BRC Gripper Head")*('Projects Overview'!$G$2:$G$5021="Risk Release")*('Projects Overview'!AB$2:AB$5021))</f>
        <v>0</v>
      </c>
      <c r="T58" s="104" cm="1">
        <f t="array" ref="T58">SUMPRODUCT(('Projects Overview'!$B$2:$B$5021="BRC Gripper Head")*('Projects Overview'!$G$2:$G$5021="Risk Release")*('Projects Overview'!AC$2:AC$5021))</f>
        <v>0</v>
      </c>
      <c r="U58" s="104" cm="1">
        <f t="array" ref="U58">SUMPRODUCT(('Projects Overview'!$B$2:$B$5021="BRC Gripper Head")*('Projects Overview'!$G$2:$G$5021="Risk Release")*('Projects Overview'!AD$2:AD$5021))</f>
        <v>0</v>
      </c>
      <c r="V58" s="104" cm="1">
        <f t="array" ref="V58">SUMPRODUCT(('Projects Overview'!$B$2:$B$5021="BRC Gripper Head")*('Projects Overview'!$G$2:$G$5021="Risk Release")*('Projects Overview'!AE$2:AE$5021))</f>
        <v>0</v>
      </c>
      <c r="W58" s="104" cm="1">
        <f t="array" ref="W58">SUMPRODUCT(('Projects Overview'!$B$2:$B$5021="BRC Gripper Head")*('Projects Overview'!$G$2:$G$5021="Risk Release")*('Projects Overview'!AF$2:AF$5021))</f>
        <v>0</v>
      </c>
      <c r="X58" s="104" cm="1">
        <f t="array" ref="X58">SUMPRODUCT(('Projects Overview'!$B$2:$B$5021="BRC Gripper Head")*('Projects Overview'!$G$2:$G$5021="Risk Release")*('Projects Overview'!AG$2:AG$5021))</f>
        <v>0</v>
      </c>
      <c r="Y58" s="104" cm="1">
        <f t="array" ref="Y58">SUMPRODUCT(('Projects Overview'!$B$2:$B$5021="BRC Gripper Head")*('Projects Overview'!$G$2:$G$5021="Risk Release")*('Projects Overview'!AH$2:AH$5021))</f>
        <v>0</v>
      </c>
      <c r="Z58" s="104" cm="1">
        <f t="array" ref="Z58">SUMPRODUCT(('Projects Overview'!$B$2:$B$5021="BRC Gripper Head")*('Projects Overview'!$G$2:$G$5021="Risk Release")*('Projects Overview'!AI$2:AI$5021))</f>
        <v>0</v>
      </c>
      <c r="AA58" s="104" cm="1">
        <f t="array" ref="AA58">SUMPRODUCT(('Projects Overview'!$B$2:$B$5021="BRC Gripper Head")*('Projects Overview'!$G$2:$G$5021="Risk Release")*('Projects Overview'!AJ$2:AJ$5021))</f>
        <v>0</v>
      </c>
      <c r="AB58" s="104" cm="1">
        <f t="array" ref="AB58">SUMPRODUCT(('Projects Overview'!$B$2:$B$5021="BRC Gripper Head")*('Projects Overview'!$G$2:$G$5021="Risk Release")*('Projects Overview'!AK$2:AK$5021))</f>
        <v>0</v>
      </c>
      <c r="AC58" s="104" cm="1">
        <f t="array" ref="AC58">SUMPRODUCT(('Projects Overview'!$B$2:$B$5021="BRC Gripper Head")*('Projects Overview'!$G$2:$G$5021="Risk Release")*('Projects Overview'!AL$2:AL$5021))</f>
        <v>0</v>
      </c>
      <c r="AD58" s="104" cm="1">
        <f t="array" ref="AD58">SUMPRODUCT(('Projects Overview'!$B$2:$B$5021="BRC Gripper Head")*('Projects Overview'!$G$2:$G$5021="Risk Release")*('Projects Overview'!AM$2:AM$5021))</f>
        <v>0</v>
      </c>
      <c r="AE58" s="104" cm="1">
        <f t="array" ref="AE58">SUMPRODUCT(('Projects Overview'!$B$2:$B$5021="BRC Gripper Head")*('Projects Overview'!$G$2:$G$5021="Risk Release")*('Projects Overview'!AN$2:AN$5021))</f>
        <v>0</v>
      </c>
      <c r="AF58" s="104" cm="1">
        <f t="array" ref="AF58">SUMPRODUCT(('Projects Overview'!$B$2:$B$5021="BRC Gripper Head")*('Projects Overview'!$G$2:$G$5021="Risk Release")*('Projects Overview'!AO$2:AO$5021))</f>
        <v>0</v>
      </c>
      <c r="AG58" s="104" cm="1">
        <f t="array" ref="AG58">SUMPRODUCT(('Projects Overview'!$B$2:$B$5021="BRC Gripper Head")*('Projects Overview'!$G$2:$G$5021="Risk Release")*('Projects Overview'!AP$2:AP$5021))</f>
        <v>0</v>
      </c>
      <c r="AH58" s="104" cm="1">
        <f t="array" ref="AH58">SUMPRODUCT(('Projects Overview'!$B$2:$B$5021="BRC Gripper Head")*('Projects Overview'!$G$2:$G$5021="Risk Release")*('Projects Overview'!AQ$2:AQ$5021))</f>
        <v>0</v>
      </c>
      <c r="AI58" s="104" cm="1">
        <f t="array" ref="AI58">SUMPRODUCT(('Projects Overview'!$B$2:$B$5021="BRC Gripper Head")*('Projects Overview'!$G$2:$G$5021="Risk Release")*('Projects Overview'!AR$2:AR$5021))</f>
        <v>0</v>
      </c>
      <c r="AJ58" s="104" cm="1">
        <f t="array" ref="AJ58">SUMPRODUCT(('Projects Overview'!$B$2:$B$5021="BRC Gripper Head")*('Projects Overview'!$G$2:$G$5021="Risk Release")*('Projects Overview'!AS$2:AS$5021))</f>
        <v>0</v>
      </c>
      <c r="AK58" s="104" cm="1">
        <f t="array" ref="AK58">SUMPRODUCT(('Projects Overview'!$B$2:$B$5021="BRC Gripper Head")*('Projects Overview'!$G$2:$G$5021="Risk Release")*('Projects Overview'!AT$2:AT$5021))</f>
        <v>0</v>
      </c>
      <c r="AL58" s="104" cm="1">
        <f t="array" ref="AL58">SUMPRODUCT(('Projects Overview'!$B$2:$B$5021="BRC Gripper Head")*('Projects Overview'!$G$2:$G$5021="Risk Release")*('Projects Overview'!AU$2:AU$5021))</f>
        <v>0</v>
      </c>
      <c r="AM58" s="104" cm="1">
        <f t="array" ref="AM58">SUMPRODUCT(('Projects Overview'!$B$2:$B$5021="BRC Gripper Head")*('Projects Overview'!$G$2:$G$5021="Risk Release")*('Projects Overview'!AV$2:AV$5021))</f>
        <v>0</v>
      </c>
      <c r="AN58" s="9"/>
      <c r="AO58" s="89" t="s">
        <v>388</v>
      </c>
      <c r="AP58" s="125">
        <v>6164.75</v>
      </c>
      <c r="AQ58" s="124">
        <v>5412</v>
      </c>
      <c r="AR58" s="122">
        <v>8791</v>
      </c>
      <c r="AS58" s="122">
        <v>5314</v>
      </c>
      <c r="AT58" s="140">
        <v>4020.4000000000005</v>
      </c>
      <c r="AU58" s="124">
        <v>4642</v>
      </c>
      <c r="AV58" s="122">
        <v>7600</v>
      </c>
      <c r="AW58" s="122">
        <v>8500</v>
      </c>
      <c r="AX58" s="123">
        <v>4642</v>
      </c>
      <c r="AY58" s="124">
        <v>2662.0000000000005</v>
      </c>
      <c r="AZ58" s="122">
        <v>2662.0000000000005</v>
      </c>
      <c r="BA58" s="122">
        <v>2662.0000000000005</v>
      </c>
      <c r="BB58" s="123">
        <v>2662.0000000000005</v>
      </c>
      <c r="BE58" s="8"/>
      <c r="BF58" s="161"/>
    </row>
    <row r="59" spans="1:64" ht="14.5" customHeight="1" thickBot="1" x14ac:dyDescent="0.4">
      <c r="A59" s="222"/>
      <c r="B59" s="226"/>
      <c r="C59" s="3" t="s">
        <v>8</v>
      </c>
      <c r="D59" s="104">
        <v>0</v>
      </c>
      <c r="E59" s="104">
        <v>0</v>
      </c>
      <c r="F59" s="104">
        <v>0</v>
      </c>
      <c r="G59" s="104">
        <v>0</v>
      </c>
      <c r="H59" s="104">
        <v>0</v>
      </c>
      <c r="I59" s="104" cm="1">
        <f t="array" ref="I59">SUMPRODUCT(('Projects Overview'!$B$2:$B$5021="BRC Gripper Head")*('Projects Overview'!$G$2:$G$5021="Forecast")*('Projects Overview'!R$2:R$5021))</f>
        <v>0</v>
      </c>
      <c r="J59" s="104" cm="1">
        <f t="array" ref="J59">SUMPRODUCT(('Projects Overview'!$B$2:$B$5021="BRC Gripper Head")*('Projects Overview'!$G$2:$G$5021="Forecast")*('Projects Overview'!S$2:S$5021))</f>
        <v>0</v>
      </c>
      <c r="K59" s="104" cm="1">
        <f t="array" ref="K59">SUMPRODUCT(('Projects Overview'!$B$2:$B$5021="BRC Gripper Head")*('Projects Overview'!$G$2:$G$5021="Forecast")*('Projects Overview'!T$2:T$5021))</f>
        <v>0</v>
      </c>
      <c r="L59" s="104" cm="1">
        <f t="array" ref="L59">SUMPRODUCT(('Projects Overview'!$B$2:$B$5021="BRC Gripper Head")*('Projects Overview'!$G$2:$G$5021="Forecast")*('Projects Overview'!U$2:U$5021))</f>
        <v>0</v>
      </c>
      <c r="M59" s="104" cm="1">
        <f t="array" ref="M59">SUMPRODUCT(('Projects Overview'!$B$2:$B$5021="BRC Gripper Head")*('Projects Overview'!$G$2:$G$5021="Forecast")*('Projects Overview'!V$2:V$5021))</f>
        <v>0</v>
      </c>
      <c r="N59" s="104" cm="1">
        <f t="array" ref="N59">SUMPRODUCT(('Projects Overview'!$B$2:$B$5021="BRC Gripper Head")*('Projects Overview'!$G$2:$G$5021="Forecast")*('Projects Overview'!W$2:W$5021))</f>
        <v>0</v>
      </c>
      <c r="O59" s="104" cm="1">
        <f t="array" ref="O59">SUMPRODUCT(('Projects Overview'!$B$2:$B$5021="BRC Gripper Head")*('Projects Overview'!$G$2:$G$5021="Forecast")*('Projects Overview'!X$2:X$5021))</f>
        <v>0</v>
      </c>
      <c r="P59" s="104" cm="1">
        <f t="array" ref="P59">SUMPRODUCT(('Projects Overview'!$B$2:$B$5021="BRC Gripper Head")*('Projects Overview'!$G$2:$G$5021="Forecast")*('Projects Overview'!Y$2:Y$5021))</f>
        <v>0</v>
      </c>
      <c r="Q59" s="104" cm="1">
        <f t="array" ref="Q59">SUMPRODUCT(('Projects Overview'!$B$2:$B$5021="BRC Gripper Head")*('Projects Overview'!$G$2:$G$5021="Forecast")*('Projects Overview'!Z$2:Z$5021))</f>
        <v>0</v>
      </c>
      <c r="R59" s="104" cm="1">
        <f t="array" ref="R59">SUMPRODUCT(('Projects Overview'!$B$2:$B$5021="BRC Gripper Head")*('Projects Overview'!$G$2:$G$5021="Forecast")*('Projects Overview'!AA$2:AA$5021))</f>
        <v>322.66666666666669</v>
      </c>
      <c r="S59" s="104" cm="1">
        <f t="array" ref="S59">SUMPRODUCT(('Projects Overview'!$B$2:$B$5021="BRC Gripper Head")*('Projects Overview'!$G$2:$G$5021="Forecast")*('Projects Overview'!AB$2:AB$5021))</f>
        <v>622.66666666666674</v>
      </c>
      <c r="T59" s="104" cm="1">
        <f t="array" ref="T59">SUMPRODUCT(('Projects Overview'!$B$2:$B$5021="BRC Gripper Head")*('Projects Overview'!$G$2:$G$5021="Forecast")*('Projects Overview'!AC$2:AC$5021))</f>
        <v>922.66666666666674</v>
      </c>
      <c r="U59" s="104" cm="1">
        <f t="array" ref="U59">SUMPRODUCT(('Projects Overview'!$B$2:$B$5021="BRC Gripper Head")*('Projects Overview'!$G$2:$G$5021="Forecast")*('Projects Overview'!AD$2:AD$5021))</f>
        <v>300</v>
      </c>
      <c r="V59" s="104" cm="1">
        <f t="array" ref="V59">SUMPRODUCT(('Projects Overview'!$B$2:$B$5021="BRC Gripper Head")*('Projects Overview'!$G$2:$G$5021="Forecast")*('Projects Overview'!AE$2:AE$5021))</f>
        <v>416</v>
      </c>
      <c r="W59" s="104" cm="1">
        <f t="array" ref="W59">SUMPRODUCT(('Projects Overview'!$B$2:$B$5021="BRC Gripper Head")*('Projects Overview'!$G$2:$G$5021="Forecast")*('Projects Overview'!AF$2:AF$5021))</f>
        <v>0</v>
      </c>
      <c r="X59" s="104" cm="1">
        <f t="array" ref="X59">SUMPRODUCT(('Projects Overview'!$B$2:$B$5021="BRC Gripper Head")*('Projects Overview'!$G$2:$G$5021="Forecast")*('Projects Overview'!AG$2:AG$5021))</f>
        <v>0</v>
      </c>
      <c r="Y59" s="104" cm="1">
        <f t="array" ref="Y59">SUMPRODUCT(('Projects Overview'!$B$2:$B$5021="BRC Gripper Head")*('Projects Overview'!$G$2:$G$5021="Forecast")*('Projects Overview'!AH$2:AH$5021))</f>
        <v>0</v>
      </c>
      <c r="Z59" s="104" cm="1">
        <f t="array" ref="Z59">SUMPRODUCT(('Projects Overview'!$B$2:$B$5021="BRC Gripper Head")*('Projects Overview'!$G$2:$G$5021="Forecast")*('Projects Overview'!AI$2:AI$5021))</f>
        <v>0</v>
      </c>
      <c r="AA59" s="104" cm="1">
        <f t="array" ref="AA59">SUMPRODUCT(('Projects Overview'!$B$2:$B$5021="BRC Gripper Head")*('Projects Overview'!$G$2:$G$5021="Forecast")*('Projects Overview'!AJ$2:AJ$5021))</f>
        <v>0</v>
      </c>
      <c r="AB59" s="104" cm="1">
        <f t="array" ref="AB59">SUMPRODUCT(('Projects Overview'!$B$2:$B$5021="BRC Gripper Head")*('Projects Overview'!$G$2:$G$5021="Forecast")*('Projects Overview'!AK$2:AK$5021))</f>
        <v>0</v>
      </c>
      <c r="AC59" s="104" cm="1">
        <f t="array" ref="AC59">SUMPRODUCT(('Projects Overview'!$B$2:$B$5021="BRC Gripper Head")*('Projects Overview'!$G$2:$G$5021="Forecast")*('Projects Overview'!AL$2:AL$5021))</f>
        <v>0</v>
      </c>
      <c r="AD59" s="104" cm="1">
        <f t="array" ref="AD59">SUMPRODUCT(('Projects Overview'!$B$2:$B$5021="BRC Gripper Head")*('Projects Overview'!$G$2:$G$5021="Forecast")*('Projects Overview'!AM$2:AM$5021))</f>
        <v>0</v>
      </c>
      <c r="AE59" s="104" cm="1">
        <f t="array" ref="AE59">SUMPRODUCT(('Projects Overview'!$B$2:$B$5021="BRC Gripper Head")*('Projects Overview'!$G$2:$G$5021="Forecast")*('Projects Overview'!AN$2:AN$5021))</f>
        <v>0</v>
      </c>
      <c r="AF59" s="104" cm="1">
        <f t="array" ref="AF59">SUMPRODUCT(('Projects Overview'!$B$2:$B$5021="BRC Gripper Head")*('Projects Overview'!$G$2:$G$5021="Forecast")*('Projects Overview'!AO$2:AO$5021))</f>
        <v>0</v>
      </c>
      <c r="AG59" s="104" cm="1">
        <f t="array" ref="AG59">SUMPRODUCT(('Projects Overview'!$B$2:$B$5021="BRC Gripper Head")*('Projects Overview'!$G$2:$G$5021="Forecast")*('Projects Overview'!AP$2:AP$5021))</f>
        <v>0</v>
      </c>
      <c r="AH59" s="104" cm="1">
        <f t="array" ref="AH59">SUMPRODUCT(('Projects Overview'!$B$2:$B$5021="BRC Gripper Head")*('Projects Overview'!$G$2:$G$5021="Forecast")*('Projects Overview'!AQ$2:AQ$5021))</f>
        <v>0</v>
      </c>
      <c r="AI59" s="104" cm="1">
        <f t="array" ref="AI59">SUMPRODUCT(('Projects Overview'!$B$2:$B$5021="BRC Gripper Head")*('Projects Overview'!$G$2:$G$5021="Forecast")*('Projects Overview'!AR$2:AR$5021))</f>
        <v>0</v>
      </c>
      <c r="AJ59" s="104" cm="1">
        <f t="array" ref="AJ59">SUMPRODUCT(('Projects Overview'!$B$2:$B$5021="BRC Gripper Head")*('Projects Overview'!$G$2:$G$5021="Forecast")*('Projects Overview'!AS$2:AS$5021))</f>
        <v>0</v>
      </c>
      <c r="AK59" s="104" cm="1">
        <f t="array" ref="AK59">SUMPRODUCT(('Projects Overview'!$B$2:$B$5021="BRC Gripper Head")*('Projects Overview'!$G$2:$G$5021="Forecast")*('Projects Overview'!AT$2:AT$5021))</f>
        <v>0</v>
      </c>
      <c r="AL59" s="104" cm="1">
        <f t="array" ref="AL59">SUMPRODUCT(('Projects Overview'!$B$2:$B$5021="BRC Gripper Head")*('Projects Overview'!$G$2:$G$5021="Forecast")*('Projects Overview'!AU$2:AU$5021))</f>
        <v>0</v>
      </c>
      <c r="AM59" s="104" cm="1">
        <f t="array" ref="AM59">SUMPRODUCT(('Projects Overview'!$B$2:$B$5021="BRC Gripper Head")*('Projects Overview'!$G$2:$G$5021="Forecast")*('Projects Overview'!AV$2:AV$5021))</f>
        <v>0</v>
      </c>
      <c r="AN59" s="9"/>
      <c r="AO59" s="89" t="s">
        <v>331</v>
      </c>
      <c r="AP59" s="125">
        <v>0</v>
      </c>
      <c r="AQ59" s="124">
        <v>56</v>
      </c>
      <c r="AR59" s="122">
        <v>56</v>
      </c>
      <c r="AS59" s="122">
        <v>56</v>
      </c>
      <c r="AT59" s="140">
        <v>56</v>
      </c>
      <c r="AU59" s="124">
        <v>55</v>
      </c>
      <c r="AV59" s="122">
        <v>55</v>
      </c>
      <c r="AW59" s="122">
        <v>55</v>
      </c>
      <c r="AX59" s="123">
        <v>55</v>
      </c>
      <c r="AY59" s="124">
        <v>55</v>
      </c>
      <c r="AZ59" s="122">
        <v>55</v>
      </c>
      <c r="BA59" s="122">
        <v>55</v>
      </c>
      <c r="BB59" s="123">
        <v>55</v>
      </c>
      <c r="BE59" s="160"/>
      <c r="BF59" s="28"/>
    </row>
    <row r="60" spans="1:64" ht="14.5" customHeight="1" thickBot="1" x14ac:dyDescent="0.4">
      <c r="A60" s="222"/>
      <c r="B60" s="224" t="s">
        <v>137</v>
      </c>
      <c r="C60" s="1" t="s">
        <v>4</v>
      </c>
      <c r="D60" s="104">
        <v>0</v>
      </c>
      <c r="E60" s="104">
        <v>0</v>
      </c>
      <c r="F60" s="104">
        <v>0</v>
      </c>
      <c r="G60" s="104">
        <v>0</v>
      </c>
      <c r="H60" s="104">
        <v>0</v>
      </c>
      <c r="I60" s="104" cm="1">
        <f t="array" ref="I60">SUMPRODUCT(('Projects Overview'!$B$2:$B$5021="LGA Guide Head")*('Projects Overview'!$G$2:$G$5021="Firm")*('Projects Overview'!R$2:R$5021))</f>
        <v>0</v>
      </c>
      <c r="J60" s="104" cm="1">
        <f t="array" ref="J60">SUMPRODUCT(('Projects Overview'!$B$2:$B$5021="LGA Guide Head")*('Projects Overview'!$G$2:$G$5021="Firm")*('Projects Overview'!S$2:S$5021))</f>
        <v>0</v>
      </c>
      <c r="K60" s="104" cm="1">
        <f t="array" ref="K60">SUMPRODUCT(('Projects Overview'!$B$2:$B$5021="LGA Guide Head")*('Projects Overview'!$G$2:$G$5021="Firm")*('Projects Overview'!T$2:T$5021))</f>
        <v>0</v>
      </c>
      <c r="L60" s="104" cm="1">
        <f t="array" ref="L60">SUMPRODUCT(('Projects Overview'!$B$2:$B$5021="LGA Guide Head")*('Projects Overview'!$G$2:$G$5021="Firm")*('Projects Overview'!U$2:U$5021))</f>
        <v>0</v>
      </c>
      <c r="M60" s="104" cm="1">
        <f t="array" ref="M60">SUMPRODUCT(('Projects Overview'!$B$2:$B$5021="LGA Guide Head")*('Projects Overview'!$G$2:$G$5021="Firm")*('Projects Overview'!V$2:V$5021))</f>
        <v>0</v>
      </c>
      <c r="N60" s="104" cm="1">
        <f t="array" ref="N60">SUMPRODUCT(('Projects Overview'!$B$2:$B$5021="LGA Guide Head")*('Projects Overview'!$G$2:$G$5021="Firm")*('Projects Overview'!W$2:W$5021))</f>
        <v>249.25</v>
      </c>
      <c r="O60" s="104" cm="1">
        <f t="array" ref="O60">SUMPRODUCT(('Projects Overview'!$B$2:$B$5021="LGA Guide Head")*('Projects Overview'!$G$2:$G$5021="Firm")*('Projects Overview'!X$2:X$5021))</f>
        <v>249.25</v>
      </c>
      <c r="P60" s="104" cm="1">
        <f t="array" ref="P60">SUMPRODUCT(('Projects Overview'!$B$2:$B$5021="LGA Guide Head")*('Projects Overview'!$G$2:$G$5021="Firm")*('Projects Overview'!Y$2:Y$5021))</f>
        <v>180</v>
      </c>
      <c r="Q60" s="104" cm="1">
        <f t="array" ref="Q60">SUMPRODUCT(('Projects Overview'!$B$2:$B$5021="LGA Guide Head")*('Projects Overview'!$G$2:$G$5021="Firm")*('Projects Overview'!Z$2:Z$5021))</f>
        <v>180</v>
      </c>
      <c r="R60" s="104" cm="1">
        <f t="array" ref="R60">SUMPRODUCT(('Projects Overview'!$B$2:$B$5021="LGA Guide Head")*('Projects Overview'!$G$2:$G$5021="Firm")*('Projects Overview'!AA$2:AA$5021))</f>
        <v>138</v>
      </c>
      <c r="S60" s="104" cm="1">
        <f t="array" ref="S60">SUMPRODUCT(('Projects Overview'!$B$2:$B$5021="LGA Guide Head")*('Projects Overview'!$G$2:$G$5021="Firm")*('Projects Overview'!AB$2:AB$5021))</f>
        <v>140</v>
      </c>
      <c r="T60" s="104" cm="1">
        <f t="array" ref="T60">SUMPRODUCT(('Projects Overview'!$B$2:$B$5021="LGA Guide Head")*('Projects Overview'!$G$2:$G$5021="Firm")*('Projects Overview'!AC$2:AC$5021))</f>
        <v>0</v>
      </c>
      <c r="U60" s="104" cm="1">
        <f t="array" ref="U60">SUMPRODUCT(('Projects Overview'!$B$2:$B$5021="LGA Guide Head")*('Projects Overview'!$G$2:$G$5021="Firm")*('Projects Overview'!AD$2:AD$5021))</f>
        <v>0</v>
      </c>
      <c r="V60" s="104" cm="1">
        <f t="array" ref="V60">SUMPRODUCT(('Projects Overview'!$B$2:$B$5021="LGA Guide Head")*('Projects Overview'!$G$2:$G$5021="Firm")*('Projects Overview'!AE$2:AE$5021))</f>
        <v>0</v>
      </c>
      <c r="W60" s="104" cm="1">
        <f t="array" ref="W60">SUMPRODUCT(('Projects Overview'!$B$2:$B$5021="LGA Guide Head")*('Projects Overview'!$G$2:$G$5021="Firm")*('Projects Overview'!AF$2:AF$5021))</f>
        <v>0</v>
      </c>
      <c r="X60" s="104" cm="1">
        <f t="array" ref="X60">SUMPRODUCT(('Projects Overview'!$B$2:$B$5021="LGA Guide Head")*('Projects Overview'!$G$2:$G$5021="Firm")*('Projects Overview'!AG$2:AG$5021))</f>
        <v>0</v>
      </c>
      <c r="Y60" s="104" cm="1">
        <f t="array" ref="Y60">SUMPRODUCT(('Projects Overview'!$B$2:$B$5021="LGA Guide Head")*('Projects Overview'!$G$2:$G$5021="Firm")*('Projects Overview'!AH$2:AH$5021))</f>
        <v>0</v>
      </c>
      <c r="Z60" s="104" cm="1">
        <f t="array" ref="Z60">SUMPRODUCT(('Projects Overview'!$B$2:$B$5021="LGA Guide Head")*('Projects Overview'!$G$2:$G$5021="Firm")*('Projects Overview'!AI$2:AI$5021))</f>
        <v>0</v>
      </c>
      <c r="AA60" s="104" cm="1">
        <f t="array" ref="AA60">SUMPRODUCT(('Projects Overview'!$B$2:$B$5021="LGA Guide Head")*('Projects Overview'!$G$2:$G$5021="Firm")*('Projects Overview'!AJ$2:AJ$5021))</f>
        <v>0</v>
      </c>
      <c r="AB60" s="104" cm="1">
        <f t="array" ref="AB60">SUMPRODUCT(('Projects Overview'!$B$2:$B$5021="LGA Guide Head")*('Projects Overview'!$G$2:$G$5021="Firm")*('Projects Overview'!AK$2:AK$5021))</f>
        <v>0</v>
      </c>
      <c r="AC60" s="104" cm="1">
        <f t="array" ref="AC60">SUMPRODUCT(('Projects Overview'!$B$2:$B$5021="LGA Guide Head")*('Projects Overview'!$G$2:$G$5021="Firm")*('Projects Overview'!AL$2:AL$5021))</f>
        <v>0</v>
      </c>
      <c r="AD60" s="104" cm="1">
        <f t="array" ref="AD60">SUMPRODUCT(('Projects Overview'!$B$2:$B$5021="LGA Guide Head")*('Projects Overview'!$G$2:$G$5021="Firm")*('Projects Overview'!AM$2:AM$5021))</f>
        <v>0</v>
      </c>
      <c r="AE60" s="104" cm="1">
        <f t="array" ref="AE60">SUMPRODUCT(('Projects Overview'!$B$2:$B$5021="LGA Guide Head")*('Projects Overview'!$G$2:$G$5021="Firm")*('Projects Overview'!AN$2:AN$5021))</f>
        <v>0</v>
      </c>
      <c r="AF60" s="104" cm="1">
        <f t="array" ref="AF60">SUMPRODUCT(('Projects Overview'!$B$2:$B$5021="LGA Guide Head")*('Projects Overview'!$G$2:$G$5021="Firm")*('Projects Overview'!AO$2:AO$5021))</f>
        <v>0</v>
      </c>
      <c r="AG60" s="104" cm="1">
        <f t="array" ref="AG60">SUMPRODUCT(('Projects Overview'!$B$2:$B$5021="LGA Guide Head")*('Projects Overview'!$G$2:$G$5021="Firm")*('Projects Overview'!AP$2:AP$5021))</f>
        <v>0</v>
      </c>
      <c r="AH60" s="104" cm="1">
        <f t="array" ref="AH60">SUMPRODUCT(('Projects Overview'!$B$2:$B$5021="LGA Guide Head")*('Projects Overview'!$G$2:$G$5021="Firm")*('Projects Overview'!AQ$2:AQ$5021))</f>
        <v>0</v>
      </c>
      <c r="AI60" s="104" cm="1">
        <f t="array" ref="AI60">SUMPRODUCT(('Projects Overview'!$B$2:$B$5021="LGA Guide Head")*('Projects Overview'!$G$2:$G$5021="Firm")*('Projects Overview'!AR$2:AR$5021))</f>
        <v>0</v>
      </c>
      <c r="AJ60" s="104" cm="1">
        <f t="array" ref="AJ60">SUMPRODUCT(('Projects Overview'!$B$2:$B$5021="LGA Guide Head")*('Projects Overview'!$G$2:$G$5021="Firm")*('Projects Overview'!AS$2:AS$5021))</f>
        <v>0</v>
      </c>
      <c r="AK60" s="104" cm="1">
        <f t="array" ref="AK60">SUMPRODUCT(('Projects Overview'!$B$2:$B$5021="LGA Guide Head")*('Projects Overview'!$G$2:$G$5021="Firm")*('Projects Overview'!AT$2:AT$5021))</f>
        <v>0</v>
      </c>
      <c r="AL60" s="104" cm="1">
        <f t="array" ref="AL60">SUMPRODUCT(('Projects Overview'!$B$2:$B$5021="LGA Guide Head")*('Projects Overview'!$G$2:$G$5021="Firm")*('Projects Overview'!AU$2:AU$5021))</f>
        <v>0</v>
      </c>
      <c r="AM60" s="104" cm="1">
        <f t="array" ref="AM60">SUMPRODUCT(('Projects Overview'!$B$2:$B$5021="LGA Guide Head")*('Projects Overview'!$G$2:$G$5021="Firm")*('Projects Overview'!AV$2:AV$5021))</f>
        <v>0</v>
      </c>
      <c r="AN60" s="9"/>
      <c r="AO60" s="89" t="s">
        <v>391</v>
      </c>
      <c r="AP60" s="125">
        <v>0</v>
      </c>
      <c r="AQ60" s="124">
        <v>18</v>
      </c>
      <c r="AR60" s="122">
        <v>18</v>
      </c>
      <c r="AS60" s="122">
        <v>23</v>
      </c>
      <c r="AT60" s="140">
        <v>38.666666666666664</v>
      </c>
      <c r="AU60" s="124">
        <v>39.666666666666664</v>
      </c>
      <c r="AV60" s="122">
        <v>13</v>
      </c>
      <c r="AW60" s="122">
        <v>10</v>
      </c>
      <c r="AX60" s="123">
        <v>15</v>
      </c>
      <c r="AY60" s="124">
        <v>0</v>
      </c>
      <c r="AZ60" s="122" t="e">
        <v>#N/A</v>
      </c>
      <c r="BA60" s="122" t="e">
        <v>#N/A</v>
      </c>
      <c r="BB60" s="123" t="e">
        <v>#N/A</v>
      </c>
      <c r="BE60" s="161"/>
    </row>
    <row r="61" spans="1:64" ht="14.5" customHeight="1" thickBot="1" x14ac:dyDescent="0.4">
      <c r="A61" s="222"/>
      <c r="B61" s="225"/>
      <c r="C61" s="2" t="s">
        <v>6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  <c r="I61" s="104" cm="1">
        <f t="array" ref="I61">SUMPRODUCT(('Projects Overview'!$B$2:$B$5021="LGA Guide Head")*('Projects Overview'!$G$2:$G$5021="Risk Release")*('Projects Overview'!R$2:R$5021))</f>
        <v>0</v>
      </c>
      <c r="J61" s="104" cm="1">
        <f t="array" ref="J61">SUMPRODUCT(('Projects Overview'!$B$2:$B$5021="LGA Guide Head")*('Projects Overview'!$G$2:$G$5021="Risk Release")*('Projects Overview'!S$2:S$5021))</f>
        <v>0</v>
      </c>
      <c r="K61" s="104" cm="1">
        <f t="array" ref="K61">SUMPRODUCT(('Projects Overview'!$B$2:$B$5021="LGA Guide Head")*('Projects Overview'!$G$2:$G$5021="Risk Release")*('Projects Overview'!T$2:T$5021))</f>
        <v>0</v>
      </c>
      <c r="L61" s="104" cm="1">
        <f t="array" ref="L61">SUMPRODUCT(('Projects Overview'!$B$2:$B$5021="LGA Guide Head")*('Projects Overview'!$G$2:$G$5021="Risk Release")*('Projects Overview'!U$2:U$5021))</f>
        <v>0</v>
      </c>
      <c r="M61" s="104" cm="1">
        <f t="array" ref="M61">SUMPRODUCT(('Projects Overview'!$B$2:$B$5021="LGA Guide Head")*('Projects Overview'!$G$2:$G$5021="Risk Release")*('Projects Overview'!V$2:V$5021))</f>
        <v>0</v>
      </c>
      <c r="N61" s="104" cm="1">
        <f t="array" ref="N61">SUMPRODUCT(('Projects Overview'!$B$2:$B$5021="LGA Guide Head")*('Projects Overview'!$G$2:$G$5021="Risk Release")*('Projects Overview'!W$2:W$5021))</f>
        <v>0</v>
      </c>
      <c r="O61" s="104" cm="1">
        <f t="array" ref="O61">SUMPRODUCT(('Projects Overview'!$B$2:$B$5021="LGA Guide Head")*('Projects Overview'!$G$2:$G$5021="Risk Release")*('Projects Overview'!X$2:X$5021))</f>
        <v>0</v>
      </c>
      <c r="P61" s="104" cm="1">
        <f t="array" ref="P61">SUMPRODUCT(('Projects Overview'!$B$2:$B$5021="LGA Guide Head")*('Projects Overview'!$G$2:$G$5021="Risk Release")*('Projects Overview'!Y$2:Y$5021))</f>
        <v>0</v>
      </c>
      <c r="Q61" s="104" cm="1">
        <f t="array" ref="Q61">SUMPRODUCT(('Projects Overview'!$B$2:$B$5021="LGA Guide Head")*('Projects Overview'!$G$2:$G$5021="Risk Release")*('Projects Overview'!Z$2:Z$5021))</f>
        <v>0</v>
      </c>
      <c r="R61" s="104" cm="1">
        <f t="array" ref="R61">SUMPRODUCT(('Projects Overview'!$B$2:$B$5021="LGA Guide Head")*('Projects Overview'!$G$2:$G$5021="Risk Release")*('Projects Overview'!AA$2:AA$5021))</f>
        <v>0</v>
      </c>
      <c r="S61" s="104" cm="1">
        <f t="array" ref="S61">SUMPRODUCT(('Projects Overview'!$B$2:$B$5021="LGA Guide Head")*('Projects Overview'!$G$2:$G$5021="Risk Release")*('Projects Overview'!AB$2:AB$5021))</f>
        <v>0</v>
      </c>
      <c r="T61" s="104" cm="1">
        <f t="array" ref="T61">SUMPRODUCT(('Projects Overview'!$B$2:$B$5021="LGA Guide Head")*('Projects Overview'!$G$2:$G$5021="Risk Release")*('Projects Overview'!AC$2:AC$5021))</f>
        <v>0</v>
      </c>
      <c r="U61" s="104" cm="1">
        <f t="array" ref="U61">SUMPRODUCT(('Projects Overview'!$B$2:$B$5021="LGA Guide Head")*('Projects Overview'!$G$2:$G$5021="Risk Release")*('Projects Overview'!AD$2:AD$5021))</f>
        <v>0</v>
      </c>
      <c r="V61" s="104" cm="1">
        <f t="array" ref="V61">SUMPRODUCT(('Projects Overview'!$B$2:$B$5021="LGA Guide Head")*('Projects Overview'!$G$2:$G$5021="Risk Release")*('Projects Overview'!AE$2:AE$5021))</f>
        <v>0</v>
      </c>
      <c r="W61" s="104" cm="1">
        <f t="array" ref="W61">SUMPRODUCT(('Projects Overview'!$B$2:$B$5021="LGA Guide Head")*('Projects Overview'!$G$2:$G$5021="Risk Release")*('Projects Overview'!AF$2:AF$5021))</f>
        <v>0</v>
      </c>
      <c r="X61" s="104" cm="1">
        <f t="array" ref="X61">SUMPRODUCT(('Projects Overview'!$B$2:$B$5021="LGA Guide Head")*('Projects Overview'!$G$2:$G$5021="Risk Release")*('Projects Overview'!AG$2:AG$5021))</f>
        <v>0</v>
      </c>
      <c r="Y61" s="104" cm="1">
        <f t="array" ref="Y61">SUMPRODUCT(('Projects Overview'!$B$2:$B$5021="LGA Guide Head")*('Projects Overview'!$G$2:$G$5021="Risk Release")*('Projects Overview'!AH$2:AH$5021))</f>
        <v>0</v>
      </c>
      <c r="Z61" s="104" cm="1">
        <f t="array" ref="Z61">SUMPRODUCT(('Projects Overview'!$B$2:$B$5021="LGA Guide Head")*('Projects Overview'!$G$2:$G$5021="Risk Release")*('Projects Overview'!AI$2:AI$5021))</f>
        <v>0</v>
      </c>
      <c r="AA61" s="104" cm="1">
        <f t="array" ref="AA61">SUMPRODUCT(('Projects Overview'!$B$2:$B$5021="LGA Guide Head")*('Projects Overview'!$G$2:$G$5021="Risk Release")*('Projects Overview'!AJ$2:AJ$5021))</f>
        <v>0</v>
      </c>
      <c r="AB61" s="104" cm="1">
        <f t="array" ref="AB61">SUMPRODUCT(('Projects Overview'!$B$2:$B$5021="LGA Guide Head")*('Projects Overview'!$G$2:$G$5021="Risk Release")*('Projects Overview'!AK$2:AK$5021))</f>
        <v>0</v>
      </c>
      <c r="AC61" s="104" cm="1">
        <f t="array" ref="AC61">SUMPRODUCT(('Projects Overview'!$B$2:$B$5021="LGA Guide Head")*('Projects Overview'!$G$2:$G$5021="Risk Release")*('Projects Overview'!AL$2:AL$5021))</f>
        <v>0</v>
      </c>
      <c r="AD61" s="104" cm="1">
        <f t="array" ref="AD61">SUMPRODUCT(('Projects Overview'!$B$2:$B$5021="LGA Guide Head")*('Projects Overview'!$G$2:$G$5021="Risk Release")*('Projects Overview'!AM$2:AM$5021))</f>
        <v>0</v>
      </c>
      <c r="AE61" s="104" cm="1">
        <f t="array" ref="AE61">SUMPRODUCT(('Projects Overview'!$B$2:$B$5021="LGA Guide Head")*('Projects Overview'!$G$2:$G$5021="Risk Release")*('Projects Overview'!AN$2:AN$5021))</f>
        <v>0</v>
      </c>
      <c r="AF61" s="104" cm="1">
        <f t="array" ref="AF61">SUMPRODUCT(('Projects Overview'!$B$2:$B$5021="LGA Guide Head")*('Projects Overview'!$G$2:$G$5021="Risk Release")*('Projects Overview'!AO$2:AO$5021))</f>
        <v>0</v>
      </c>
      <c r="AG61" s="104" cm="1">
        <f t="array" ref="AG61">SUMPRODUCT(('Projects Overview'!$B$2:$B$5021="LGA Guide Head")*('Projects Overview'!$G$2:$G$5021="Risk Release")*('Projects Overview'!AP$2:AP$5021))</f>
        <v>0</v>
      </c>
      <c r="AH61" s="104" cm="1">
        <f t="array" ref="AH61">SUMPRODUCT(('Projects Overview'!$B$2:$B$5021="LGA Guide Head")*('Projects Overview'!$G$2:$G$5021="Risk Release")*('Projects Overview'!AQ$2:AQ$5021))</f>
        <v>0</v>
      </c>
      <c r="AI61" s="104" cm="1">
        <f t="array" ref="AI61">SUMPRODUCT(('Projects Overview'!$B$2:$B$5021="LGA Guide Head")*('Projects Overview'!$G$2:$G$5021="Risk Release")*('Projects Overview'!AR$2:AR$5021))</f>
        <v>0</v>
      </c>
      <c r="AJ61" s="104" cm="1">
        <f t="array" ref="AJ61">SUMPRODUCT(('Projects Overview'!$B$2:$B$5021="LGA Guide Head")*('Projects Overview'!$G$2:$G$5021="Risk Release")*('Projects Overview'!AS$2:AS$5021))</f>
        <v>0</v>
      </c>
      <c r="AK61" s="104" cm="1">
        <f t="array" ref="AK61">SUMPRODUCT(('Projects Overview'!$B$2:$B$5021="LGA Guide Head")*('Projects Overview'!$G$2:$G$5021="Risk Release")*('Projects Overview'!AT$2:AT$5021))</f>
        <v>0</v>
      </c>
      <c r="AL61" s="104" cm="1">
        <f t="array" ref="AL61">SUMPRODUCT(('Projects Overview'!$B$2:$B$5021="LGA Guide Head")*('Projects Overview'!$G$2:$G$5021="Risk Release")*('Projects Overview'!AU$2:AU$5021))</f>
        <v>0</v>
      </c>
      <c r="AM61" s="104" cm="1">
        <f t="array" ref="AM61">SUMPRODUCT(('Projects Overview'!$B$2:$B$5021="LGA Guide Head")*('Projects Overview'!$G$2:$G$5021="Risk Release")*('Projects Overview'!AV$2:AV$5021))</f>
        <v>0</v>
      </c>
      <c r="AN61" s="9"/>
      <c r="AO61" s="89" t="s">
        <v>392</v>
      </c>
      <c r="AP61" s="125">
        <v>0</v>
      </c>
      <c r="AQ61" s="124">
        <v>60</v>
      </c>
      <c r="AR61" s="122">
        <v>58</v>
      </c>
      <c r="AS61" s="122">
        <v>64</v>
      </c>
      <c r="AT61" s="140">
        <v>60</v>
      </c>
      <c r="AU61" s="124">
        <v>59</v>
      </c>
      <c r="AV61" s="122">
        <v>58</v>
      </c>
      <c r="AW61" s="122">
        <v>64</v>
      </c>
      <c r="AX61" s="123">
        <v>60</v>
      </c>
      <c r="AY61" s="124">
        <v>60</v>
      </c>
      <c r="AZ61" s="122">
        <v>60</v>
      </c>
      <c r="BA61" s="122">
        <v>60</v>
      </c>
      <c r="BB61" s="123">
        <v>60</v>
      </c>
      <c r="BI61" s="28"/>
      <c r="BJ61" s="28"/>
      <c r="BK61" s="28"/>
      <c r="BL61" s="28"/>
    </row>
    <row r="62" spans="1:64" ht="14.5" customHeight="1" thickBot="1" x14ac:dyDescent="0.4">
      <c r="A62" s="222"/>
      <c r="B62" s="226"/>
      <c r="C62" s="3" t="s">
        <v>8</v>
      </c>
      <c r="D62" s="104">
        <v>0</v>
      </c>
      <c r="E62" s="104">
        <v>0</v>
      </c>
      <c r="F62" s="104">
        <v>0</v>
      </c>
      <c r="G62" s="104">
        <v>0</v>
      </c>
      <c r="H62" s="104">
        <v>0</v>
      </c>
      <c r="I62" s="104" cm="1">
        <f t="array" ref="I62">SUMPRODUCT(('Projects Overview'!$B$2:$B$5021="LGA Guide Head")*('Projects Overview'!$G$2:$G$5021="Forecast")*('Projects Overview'!R$2:R$5021))</f>
        <v>0</v>
      </c>
      <c r="J62" s="104" cm="1">
        <f t="array" ref="J62">SUMPRODUCT(('Projects Overview'!$B$2:$B$5021="LGA Guide Head")*('Projects Overview'!$G$2:$G$5021="Forecast")*('Projects Overview'!S$2:S$5021))</f>
        <v>0</v>
      </c>
      <c r="K62" s="104" cm="1">
        <f t="array" ref="K62">SUMPRODUCT(('Projects Overview'!$B$2:$B$5021="LGA Guide Head")*('Projects Overview'!$G$2:$G$5021="Forecast")*('Projects Overview'!T$2:T$5021))</f>
        <v>0</v>
      </c>
      <c r="L62" s="104" cm="1">
        <f t="array" ref="L62">SUMPRODUCT(('Projects Overview'!$B$2:$B$5021="LGA Guide Head")*('Projects Overview'!$G$2:$G$5021="Forecast")*('Projects Overview'!U$2:U$5021))</f>
        <v>0</v>
      </c>
      <c r="M62" s="104" cm="1">
        <f t="array" ref="M62">SUMPRODUCT(('Projects Overview'!$B$2:$B$5021="LGA Guide Head")*('Projects Overview'!$G$2:$G$5021="Forecast")*('Projects Overview'!V$2:V$5021))</f>
        <v>0</v>
      </c>
      <c r="N62" s="104" cm="1">
        <f t="array" ref="N62">SUMPRODUCT(('Projects Overview'!$B$2:$B$5021="LGA Guide Head")*('Projects Overview'!$G$2:$G$5021="Forecast")*('Projects Overview'!W$2:W$5021))</f>
        <v>0</v>
      </c>
      <c r="O62" s="104" cm="1">
        <f t="array" ref="O62">SUMPRODUCT(('Projects Overview'!$B$2:$B$5021="LGA Guide Head")*('Projects Overview'!$G$2:$G$5021="Forecast")*('Projects Overview'!X$2:X$5021))</f>
        <v>0</v>
      </c>
      <c r="P62" s="104" cm="1">
        <f t="array" ref="P62">SUMPRODUCT(('Projects Overview'!$B$2:$B$5021="LGA Guide Head")*('Projects Overview'!$G$2:$G$5021="Forecast")*('Projects Overview'!Y$2:Y$5021))</f>
        <v>0</v>
      </c>
      <c r="Q62" s="104" cm="1">
        <f t="array" ref="Q62">SUMPRODUCT(('Projects Overview'!$B$2:$B$5021="LGA Guide Head")*('Projects Overview'!$G$2:$G$5021="Forecast")*('Projects Overview'!Z$2:Z$5021))</f>
        <v>0</v>
      </c>
      <c r="R62" s="104" cm="1">
        <f t="array" ref="R62">SUMPRODUCT(('Projects Overview'!$B$2:$B$5021="LGA Guide Head")*('Projects Overview'!$G$2:$G$5021="Forecast")*('Projects Overview'!AA$2:AA$5021))</f>
        <v>0</v>
      </c>
      <c r="S62" s="104" cm="1">
        <f t="array" ref="S62">SUMPRODUCT(('Projects Overview'!$B$2:$B$5021="LGA Guide Head")*('Projects Overview'!$G$2:$G$5021="Forecast")*('Projects Overview'!AB$2:AB$5021))</f>
        <v>0</v>
      </c>
      <c r="T62" s="104" cm="1">
        <f t="array" ref="T62">SUMPRODUCT(('Projects Overview'!$B$2:$B$5021="LGA Guide Head")*('Projects Overview'!$G$2:$G$5021="Forecast")*('Projects Overview'!AC$2:AC$5021))</f>
        <v>0</v>
      </c>
      <c r="U62" s="104" cm="1">
        <f t="array" ref="U62">SUMPRODUCT(('Projects Overview'!$B$2:$B$5021="LGA Guide Head")*('Projects Overview'!$G$2:$G$5021="Forecast")*('Projects Overview'!AD$2:AD$5021))</f>
        <v>0</v>
      </c>
      <c r="V62" s="104" cm="1">
        <f t="array" ref="V62">SUMPRODUCT(('Projects Overview'!$B$2:$B$5021="LGA Guide Head")*('Projects Overview'!$G$2:$G$5021="Forecast")*('Projects Overview'!AE$2:AE$5021))</f>
        <v>0</v>
      </c>
      <c r="W62" s="104" cm="1">
        <f t="array" ref="W62">SUMPRODUCT(('Projects Overview'!$B$2:$B$5021="LGA Guide Head")*('Projects Overview'!$G$2:$G$5021="Forecast")*('Projects Overview'!AF$2:AF$5021))</f>
        <v>0</v>
      </c>
      <c r="X62" s="104" cm="1">
        <f t="array" ref="X62">SUMPRODUCT(('Projects Overview'!$B$2:$B$5021="LGA Guide Head")*('Projects Overview'!$G$2:$G$5021="Forecast")*('Projects Overview'!AG$2:AG$5021))</f>
        <v>0</v>
      </c>
      <c r="Y62" s="104" cm="1">
        <f t="array" ref="Y62">SUMPRODUCT(('Projects Overview'!$B$2:$B$5021="LGA Guide Head")*('Projects Overview'!$G$2:$G$5021="Forecast")*('Projects Overview'!AH$2:AH$5021))</f>
        <v>0</v>
      </c>
      <c r="Z62" s="104" cm="1">
        <f t="array" ref="Z62">SUMPRODUCT(('Projects Overview'!$B$2:$B$5021="LGA Guide Head")*('Projects Overview'!$G$2:$G$5021="Forecast")*('Projects Overview'!AI$2:AI$5021))</f>
        <v>0</v>
      </c>
      <c r="AA62" s="104" cm="1">
        <f t="array" ref="AA62">SUMPRODUCT(('Projects Overview'!$B$2:$B$5021="LGA Guide Head")*('Projects Overview'!$G$2:$G$5021="Forecast")*('Projects Overview'!AJ$2:AJ$5021))</f>
        <v>0</v>
      </c>
      <c r="AB62" s="104" cm="1">
        <f t="array" ref="AB62">SUMPRODUCT(('Projects Overview'!$B$2:$B$5021="LGA Guide Head")*('Projects Overview'!$G$2:$G$5021="Forecast")*('Projects Overview'!AK$2:AK$5021))</f>
        <v>0</v>
      </c>
      <c r="AC62" s="104" cm="1">
        <f t="array" ref="AC62">SUMPRODUCT(('Projects Overview'!$B$2:$B$5021="LGA Guide Head")*('Projects Overview'!$G$2:$G$5021="Forecast")*('Projects Overview'!AL$2:AL$5021))</f>
        <v>0</v>
      </c>
      <c r="AD62" s="104" cm="1">
        <f t="array" ref="AD62">SUMPRODUCT(('Projects Overview'!$B$2:$B$5021="LGA Guide Head")*('Projects Overview'!$G$2:$G$5021="Forecast")*('Projects Overview'!AM$2:AM$5021))</f>
        <v>0</v>
      </c>
      <c r="AE62" s="104" cm="1">
        <f t="array" ref="AE62">SUMPRODUCT(('Projects Overview'!$B$2:$B$5021="LGA Guide Head")*('Projects Overview'!$G$2:$G$5021="Forecast")*('Projects Overview'!AN$2:AN$5021))</f>
        <v>0</v>
      </c>
      <c r="AF62" s="104" cm="1">
        <f t="array" ref="AF62">SUMPRODUCT(('Projects Overview'!$B$2:$B$5021="LGA Guide Head")*('Projects Overview'!$G$2:$G$5021="Forecast")*('Projects Overview'!AO$2:AO$5021))</f>
        <v>0</v>
      </c>
      <c r="AG62" s="104" cm="1">
        <f t="array" ref="AG62">SUMPRODUCT(('Projects Overview'!$B$2:$B$5021="LGA Guide Head")*('Projects Overview'!$G$2:$G$5021="Forecast")*('Projects Overview'!AP$2:AP$5021))</f>
        <v>0</v>
      </c>
      <c r="AH62" s="104" cm="1">
        <f t="array" ref="AH62">SUMPRODUCT(('Projects Overview'!$B$2:$B$5021="LGA Guide Head")*('Projects Overview'!$G$2:$G$5021="Forecast")*('Projects Overview'!AQ$2:AQ$5021))</f>
        <v>0</v>
      </c>
      <c r="AI62" s="104" cm="1">
        <f t="array" ref="AI62">SUMPRODUCT(('Projects Overview'!$B$2:$B$5021="LGA Guide Head")*('Projects Overview'!$G$2:$G$5021="Forecast")*('Projects Overview'!AR$2:AR$5021))</f>
        <v>0</v>
      </c>
      <c r="AJ62" s="104" cm="1">
        <f t="array" ref="AJ62">SUMPRODUCT(('Projects Overview'!$B$2:$B$5021="LGA Guide Head")*('Projects Overview'!$G$2:$G$5021="Forecast")*('Projects Overview'!AS$2:AS$5021))</f>
        <v>0</v>
      </c>
      <c r="AK62" s="104" cm="1">
        <f t="array" ref="AK62">SUMPRODUCT(('Projects Overview'!$B$2:$B$5021="LGA Guide Head")*('Projects Overview'!$G$2:$G$5021="Forecast")*('Projects Overview'!AT$2:AT$5021))</f>
        <v>0</v>
      </c>
      <c r="AL62" s="104" cm="1">
        <f t="array" ref="AL62">SUMPRODUCT(('Projects Overview'!$B$2:$B$5021="LGA Guide Head")*('Projects Overview'!$G$2:$G$5021="Forecast")*('Projects Overview'!AU$2:AU$5021))</f>
        <v>0</v>
      </c>
      <c r="AM62" s="104" cm="1">
        <f t="array" ref="AM62">SUMPRODUCT(('Projects Overview'!$B$2:$B$5021="LGA Guide Head")*('Projects Overview'!$G$2:$G$5021="Forecast")*('Projects Overview'!AV$2:AV$5021))</f>
        <v>0</v>
      </c>
      <c r="AN62" s="9"/>
      <c r="AO62" s="89" t="s">
        <v>389</v>
      </c>
      <c r="AP62" s="125">
        <v>38604.333333333299</v>
      </c>
      <c r="AQ62" s="124">
        <v>41135.447619047613</v>
      </c>
      <c r="AR62" s="122">
        <v>20638.133333333331</v>
      </c>
      <c r="AS62" s="122">
        <v>39926.571428571428</v>
      </c>
      <c r="AT62" s="140">
        <v>42728.1</v>
      </c>
      <c r="AU62" s="124">
        <v>42436.266666666663</v>
      </c>
      <c r="AV62" s="122" t="e">
        <v>#N/A</v>
      </c>
      <c r="AW62" s="122" t="e">
        <v>#N/A</v>
      </c>
      <c r="AX62" s="123" t="e">
        <v>#N/A</v>
      </c>
      <c r="AY62" s="124" t="e">
        <v>#N/A</v>
      </c>
      <c r="AZ62" s="122" t="e">
        <v>#N/A</v>
      </c>
      <c r="BA62" s="122" t="e">
        <v>#N/A</v>
      </c>
      <c r="BB62" s="123" t="e">
        <v>#N/A</v>
      </c>
      <c r="BE62" s="160"/>
      <c r="BG62" s="28"/>
      <c r="BH62" s="28"/>
      <c r="BI62" s="28"/>
      <c r="BJ62" s="28"/>
    </row>
    <row r="63" spans="1:64" ht="14.5" customHeight="1" thickBot="1" x14ac:dyDescent="0.4">
      <c r="A63" s="222"/>
      <c r="B63" s="224" t="s">
        <v>139</v>
      </c>
      <c r="C63" s="1" t="s">
        <v>4</v>
      </c>
      <c r="D63" s="104">
        <v>105.6</v>
      </c>
      <c r="E63" s="104">
        <v>105.6</v>
      </c>
      <c r="F63" s="104">
        <v>105.6</v>
      </c>
      <c r="G63" s="104">
        <v>105.6</v>
      </c>
      <c r="H63" s="104">
        <v>105.6</v>
      </c>
      <c r="I63" s="104" cm="1">
        <f t="array" ref="I63">SUMPRODUCT(('Projects Overview'!$B$2:$B$5021="Travelling Block")*('Projects Overview'!$G$2:$G$5021="Firm")*('Projects Overview'!R$2:R$5021))</f>
        <v>105.71428571428571</v>
      </c>
      <c r="J63" s="104" cm="1">
        <f t="array" ref="J63">SUMPRODUCT(('Projects Overview'!$B$2:$B$5021="Travelling Block")*('Projects Overview'!$G$2:$G$5021="Firm")*('Projects Overview'!S$2:S$5021))</f>
        <v>105.71428571428571</v>
      </c>
      <c r="K63" s="104" cm="1">
        <f t="array" ref="K63">SUMPRODUCT(('Projects Overview'!$B$2:$B$5021="Travelling Block")*('Projects Overview'!$G$2:$G$5021="Firm")*('Projects Overview'!T$2:T$5021))</f>
        <v>150</v>
      </c>
      <c r="L63" s="104" cm="1">
        <f t="array" ref="L63">SUMPRODUCT(('Projects Overview'!$B$2:$B$5021="Travelling Block")*('Projects Overview'!$G$2:$G$5021="Firm")*('Projects Overview'!U$2:U$5021))</f>
        <v>200</v>
      </c>
      <c r="M63" s="104" cm="1">
        <f t="array" ref="M63">SUMPRODUCT(('Projects Overview'!$B$2:$B$5021="Travelling Block")*('Projects Overview'!$G$2:$G$5021="Firm")*('Projects Overview'!V$2:V$5021))</f>
        <v>0</v>
      </c>
      <c r="N63" s="104" cm="1">
        <f t="array" ref="N63">SUMPRODUCT(('Projects Overview'!$B$2:$B$5021="Travelling Block")*('Projects Overview'!$G$2:$G$5021="Firm")*('Projects Overview'!W$2:W$5021))</f>
        <v>0</v>
      </c>
      <c r="O63" s="104" cm="1">
        <f t="array" ref="O63">SUMPRODUCT(('Projects Overview'!$B$2:$B$5021="Travelling Block")*('Projects Overview'!$G$2:$G$5021="Firm")*('Projects Overview'!X$2:X$5021))</f>
        <v>0</v>
      </c>
      <c r="P63" s="104" cm="1">
        <f t="array" ref="P63">SUMPRODUCT(('Projects Overview'!$B$2:$B$5021="Travelling Block")*('Projects Overview'!$G$2:$G$5021="Firm")*('Projects Overview'!Y$2:Y$5021))</f>
        <v>0</v>
      </c>
      <c r="Q63" s="104" cm="1">
        <f t="array" ref="Q63">SUMPRODUCT(('Projects Overview'!$B$2:$B$5021="Travelling Block")*('Projects Overview'!$G$2:$G$5021="Firm")*('Projects Overview'!Z$2:Z$5021))</f>
        <v>0</v>
      </c>
      <c r="R63" s="104" cm="1">
        <f t="array" ref="R63">SUMPRODUCT(('Projects Overview'!$B$2:$B$5021="Travelling Block")*('Projects Overview'!$G$2:$G$5021="Firm")*('Projects Overview'!AA$2:AA$5021))</f>
        <v>0</v>
      </c>
      <c r="S63" s="104" cm="1">
        <f t="array" ref="S63">SUMPRODUCT(('Projects Overview'!$B$2:$B$5021="Travelling Block")*('Projects Overview'!$G$2:$G$5021="Firm")*('Projects Overview'!AB$2:AB$5021))</f>
        <v>0</v>
      </c>
      <c r="T63" s="104" cm="1">
        <f t="array" ref="T63">SUMPRODUCT(('Projects Overview'!$B$2:$B$5021="Travelling Block")*('Projects Overview'!$G$2:$G$5021="Firm")*('Projects Overview'!AC$2:AC$5021))</f>
        <v>0</v>
      </c>
      <c r="U63" s="104" cm="1">
        <f t="array" ref="U63">SUMPRODUCT(('Projects Overview'!$B$2:$B$5021="Travelling Block")*('Projects Overview'!$G$2:$G$5021="Firm")*('Projects Overview'!AD$2:AD$5021))</f>
        <v>0</v>
      </c>
      <c r="V63" s="104" cm="1">
        <f t="array" ref="V63">SUMPRODUCT(('Projects Overview'!$B$2:$B$5021="Travelling Block")*('Projects Overview'!$G$2:$G$5021="Firm")*('Projects Overview'!AE$2:AE$5021))</f>
        <v>0</v>
      </c>
      <c r="W63" s="104" cm="1">
        <f t="array" ref="W63">SUMPRODUCT(('Projects Overview'!$B$2:$B$5021="Travelling Block")*('Projects Overview'!$G$2:$G$5021="Firm")*('Projects Overview'!AF$2:AF$5021))</f>
        <v>0</v>
      </c>
      <c r="X63" s="104" cm="1">
        <f t="array" ref="X63">SUMPRODUCT(('Projects Overview'!$B$2:$B$5021="Travelling Block")*('Projects Overview'!$G$2:$G$5021="Firm")*('Projects Overview'!AG$2:AG$5021))</f>
        <v>0</v>
      </c>
      <c r="Y63" s="104" cm="1">
        <f t="array" ref="Y63">SUMPRODUCT(('Projects Overview'!$B$2:$B$5021="Travelling Block")*('Projects Overview'!$G$2:$G$5021="Firm")*('Projects Overview'!AH$2:AH$5021))</f>
        <v>0</v>
      </c>
      <c r="Z63" s="104" cm="1">
        <f t="array" ref="Z63">SUMPRODUCT(('Projects Overview'!$B$2:$B$5021="Travelling Block")*('Projects Overview'!$G$2:$G$5021="Firm")*('Projects Overview'!AI$2:AI$5021))</f>
        <v>0</v>
      </c>
      <c r="AA63" s="104" cm="1">
        <f t="array" ref="AA63">SUMPRODUCT(('Projects Overview'!$B$2:$B$5021="Travelling Block")*('Projects Overview'!$G$2:$G$5021="Firm")*('Projects Overview'!AJ$2:AJ$5021))</f>
        <v>0</v>
      </c>
      <c r="AB63" s="104" cm="1">
        <f t="array" ref="AB63">SUMPRODUCT(('Projects Overview'!$B$2:$B$5021="Travelling Block")*('Projects Overview'!$G$2:$G$5021="Firm")*('Projects Overview'!AK$2:AK$5021))</f>
        <v>0</v>
      </c>
      <c r="AC63" s="104" cm="1">
        <f t="array" ref="AC63">SUMPRODUCT(('Projects Overview'!$B$2:$B$5021="Travelling Block")*('Projects Overview'!$G$2:$G$5021="Firm")*('Projects Overview'!AL$2:AL$5021))</f>
        <v>0</v>
      </c>
      <c r="AD63" s="104" cm="1">
        <f t="array" ref="AD63">SUMPRODUCT(('Projects Overview'!$B$2:$B$5021="Travelling Block")*('Projects Overview'!$G$2:$G$5021="Firm")*('Projects Overview'!AM$2:AM$5021))</f>
        <v>0</v>
      </c>
      <c r="AE63" s="104" cm="1">
        <f t="array" ref="AE63">SUMPRODUCT(('Projects Overview'!$B$2:$B$5021="Travelling Block")*('Projects Overview'!$G$2:$G$5021="Firm")*('Projects Overview'!AN$2:AN$5021))</f>
        <v>0</v>
      </c>
      <c r="AF63" s="104" cm="1">
        <f t="array" ref="AF63">SUMPRODUCT(('Projects Overview'!$B$2:$B$5021="Travelling Block")*('Projects Overview'!$G$2:$G$5021="Firm")*('Projects Overview'!AO$2:AO$5021))</f>
        <v>0</v>
      </c>
      <c r="AG63" s="104" cm="1">
        <f t="array" ref="AG63">SUMPRODUCT(('Projects Overview'!$B$2:$B$5021="Travelling Block")*('Projects Overview'!$G$2:$G$5021="Firm")*('Projects Overview'!AP$2:AP$5021))</f>
        <v>0</v>
      </c>
      <c r="AH63" s="104" cm="1">
        <f t="array" ref="AH63">SUMPRODUCT(('Projects Overview'!$B$2:$B$5021="Travelling Block")*('Projects Overview'!$G$2:$G$5021="Firm")*('Projects Overview'!AQ$2:AQ$5021))</f>
        <v>0</v>
      </c>
      <c r="AI63" s="104" cm="1">
        <f t="array" ref="AI63">SUMPRODUCT(('Projects Overview'!$B$2:$B$5021="Travelling Block")*('Projects Overview'!$G$2:$G$5021="Firm")*('Projects Overview'!AR$2:AR$5021))</f>
        <v>0</v>
      </c>
      <c r="AJ63" s="104" cm="1">
        <f t="array" ref="AJ63">SUMPRODUCT(('Projects Overview'!$B$2:$B$5021="Travelling Block")*('Projects Overview'!$G$2:$G$5021="Firm")*('Projects Overview'!AS$2:AS$5021))</f>
        <v>0</v>
      </c>
      <c r="AK63" s="104" cm="1">
        <f t="array" ref="AK63">SUMPRODUCT(('Projects Overview'!$B$2:$B$5021="Travelling Block")*('Projects Overview'!$G$2:$G$5021="Firm")*('Projects Overview'!AT$2:AT$5021))</f>
        <v>0</v>
      </c>
      <c r="AL63" s="104" cm="1">
        <f t="array" ref="AL63">SUMPRODUCT(('Projects Overview'!$B$2:$B$5021="Travelling Block")*('Projects Overview'!$G$2:$G$5021="Firm")*('Projects Overview'!AU$2:AU$5021))</f>
        <v>0</v>
      </c>
      <c r="AM63" s="104" cm="1">
        <f t="array" ref="AM63">SUMPRODUCT(('Projects Overview'!$B$2:$B$5021="Travelling Block")*('Projects Overview'!$G$2:$G$5021="Firm")*('Projects Overview'!AV$2:AV$5021))</f>
        <v>0</v>
      </c>
      <c r="AN63" s="9"/>
      <c r="AO63" s="89" t="s">
        <v>390</v>
      </c>
      <c r="AP63" s="126">
        <v>38604.476190476184</v>
      </c>
      <c r="AQ63" s="129">
        <v>41135.447619047613</v>
      </c>
      <c r="AR63" s="127">
        <v>20638.133333333331</v>
      </c>
      <c r="AS63" s="127">
        <v>39926.571428571428</v>
      </c>
      <c r="AT63" s="141">
        <v>42728.1</v>
      </c>
      <c r="AU63" s="129">
        <v>42436.266666666663</v>
      </c>
      <c r="AV63" s="127">
        <v>21874</v>
      </c>
      <c r="AW63" s="127">
        <v>28577.133333333331</v>
      </c>
      <c r="AX63" s="128">
        <v>32072.199999999997</v>
      </c>
      <c r="AY63" s="129">
        <v>10811.133333333335</v>
      </c>
      <c r="AZ63" s="127">
        <v>9698.5333333333347</v>
      </c>
      <c r="BA63" s="127">
        <v>9091.7999999999993</v>
      </c>
      <c r="BB63" s="128">
        <v>13062</v>
      </c>
      <c r="BE63" s="162"/>
    </row>
    <row r="64" spans="1:64" ht="14.5" customHeight="1" x14ac:dyDescent="0.35">
      <c r="A64" s="222"/>
      <c r="B64" s="225"/>
      <c r="C64" s="2" t="s">
        <v>6</v>
      </c>
      <c r="D64" s="104">
        <v>0</v>
      </c>
      <c r="E64" s="104">
        <v>0</v>
      </c>
      <c r="F64" s="104">
        <v>0</v>
      </c>
      <c r="G64" s="104">
        <v>0</v>
      </c>
      <c r="H64" s="104">
        <v>0</v>
      </c>
      <c r="I64" s="104" cm="1">
        <f t="array" ref="I64">SUMPRODUCT(('Projects Overview'!$B$2:$B$5021="Travelling Block")*('Projects Overview'!$G$2:$G$5021="Risk Release")*('Projects Overview'!R$2:R$5021))</f>
        <v>0</v>
      </c>
      <c r="J64" s="104" cm="1">
        <f t="array" ref="J64">SUMPRODUCT(('Projects Overview'!$B$2:$B$5021="Travelling Block")*('Projects Overview'!$G$2:$G$5021="Risk Release")*('Projects Overview'!S$2:S$5021))</f>
        <v>0</v>
      </c>
      <c r="K64" s="104" cm="1">
        <f t="array" ref="K64">SUMPRODUCT(('Projects Overview'!$B$2:$B$5021="Travelling Block")*('Projects Overview'!$G$2:$G$5021="Risk Release")*('Projects Overview'!T$2:T$5021))</f>
        <v>0</v>
      </c>
      <c r="L64" s="104" cm="1">
        <f t="array" ref="L64">SUMPRODUCT(('Projects Overview'!$B$2:$B$5021="Travelling Block")*('Projects Overview'!$G$2:$G$5021="Risk Release")*('Projects Overview'!U$2:U$5021))</f>
        <v>0</v>
      </c>
      <c r="M64" s="104" cm="1">
        <f t="array" ref="M64">SUMPRODUCT(('Projects Overview'!$B$2:$B$5021="Travelling Block")*('Projects Overview'!$G$2:$G$5021="Risk Release")*('Projects Overview'!V$2:V$5021))</f>
        <v>0</v>
      </c>
      <c r="N64" s="104" cm="1">
        <f t="array" ref="N64">SUMPRODUCT(('Projects Overview'!$B$2:$B$5021="Travelling Block")*('Projects Overview'!$G$2:$G$5021="Risk Release")*('Projects Overview'!W$2:W$5021))</f>
        <v>0</v>
      </c>
      <c r="O64" s="104" cm="1">
        <f t="array" ref="O64">SUMPRODUCT(('Projects Overview'!$B$2:$B$5021="Travelling Block")*('Projects Overview'!$G$2:$G$5021="Risk Release")*('Projects Overview'!X$2:X$5021))</f>
        <v>0</v>
      </c>
      <c r="P64" s="104" cm="1">
        <f t="array" ref="P64">SUMPRODUCT(('Projects Overview'!$B$2:$B$5021="Travelling Block")*('Projects Overview'!$G$2:$G$5021="Risk Release")*('Projects Overview'!Y$2:Y$5021))</f>
        <v>0</v>
      </c>
      <c r="Q64" s="104" cm="1">
        <f t="array" ref="Q64">SUMPRODUCT(('Projects Overview'!$B$2:$B$5021="Travelling Block")*('Projects Overview'!$G$2:$G$5021="Risk Release")*('Projects Overview'!Z$2:Z$5021))</f>
        <v>0</v>
      </c>
      <c r="R64" s="104" cm="1">
        <f t="array" ref="R64">SUMPRODUCT(('Projects Overview'!$B$2:$B$5021="Travelling Block")*('Projects Overview'!$G$2:$G$5021="Risk Release")*('Projects Overview'!AA$2:AA$5021))</f>
        <v>0</v>
      </c>
      <c r="S64" s="104" cm="1">
        <f t="array" ref="S64">SUMPRODUCT(('Projects Overview'!$B$2:$B$5021="Travelling Block")*('Projects Overview'!$G$2:$G$5021="Risk Release")*('Projects Overview'!AB$2:AB$5021))</f>
        <v>0</v>
      </c>
      <c r="T64" s="104" cm="1">
        <f t="array" ref="T64">SUMPRODUCT(('Projects Overview'!$B$2:$B$5021="Travelling Block")*('Projects Overview'!$G$2:$G$5021="Risk Release")*('Projects Overview'!AC$2:AC$5021))</f>
        <v>0</v>
      </c>
      <c r="U64" s="104" cm="1">
        <f t="array" ref="U64">SUMPRODUCT(('Projects Overview'!$B$2:$B$5021="Travelling Block")*('Projects Overview'!$G$2:$G$5021="Risk Release")*('Projects Overview'!AD$2:AD$5021))</f>
        <v>0</v>
      </c>
      <c r="V64" s="104" cm="1">
        <f t="array" ref="V64">SUMPRODUCT(('Projects Overview'!$B$2:$B$5021="Travelling Block")*('Projects Overview'!$G$2:$G$5021="Risk Release")*('Projects Overview'!AE$2:AE$5021))</f>
        <v>0</v>
      </c>
      <c r="W64" s="104" cm="1">
        <f t="array" ref="W64">SUMPRODUCT(('Projects Overview'!$B$2:$B$5021="Travelling Block")*('Projects Overview'!$G$2:$G$5021="Risk Release")*('Projects Overview'!AF$2:AF$5021))</f>
        <v>0</v>
      </c>
      <c r="X64" s="104" cm="1">
        <f t="array" ref="X64">SUMPRODUCT(('Projects Overview'!$B$2:$B$5021="Travelling Block")*('Projects Overview'!$G$2:$G$5021="Risk Release")*('Projects Overview'!AG$2:AG$5021))</f>
        <v>0</v>
      </c>
      <c r="Y64" s="104" cm="1">
        <f t="array" ref="Y64">SUMPRODUCT(('Projects Overview'!$B$2:$B$5021="Travelling Block")*('Projects Overview'!$G$2:$G$5021="Risk Release")*('Projects Overview'!AH$2:AH$5021))</f>
        <v>0</v>
      </c>
      <c r="Z64" s="104" cm="1">
        <f t="array" ref="Z64">SUMPRODUCT(('Projects Overview'!$B$2:$B$5021="Travelling Block")*('Projects Overview'!$G$2:$G$5021="Risk Release")*('Projects Overview'!AI$2:AI$5021))</f>
        <v>0</v>
      </c>
      <c r="AA64" s="104" cm="1">
        <f t="array" ref="AA64">SUMPRODUCT(('Projects Overview'!$B$2:$B$5021="Travelling Block")*('Projects Overview'!$G$2:$G$5021="Risk Release")*('Projects Overview'!AJ$2:AJ$5021))</f>
        <v>0</v>
      </c>
      <c r="AB64" s="104" cm="1">
        <f t="array" ref="AB64">SUMPRODUCT(('Projects Overview'!$B$2:$B$5021="Travelling Block")*('Projects Overview'!$G$2:$G$5021="Risk Release")*('Projects Overview'!AK$2:AK$5021))</f>
        <v>0</v>
      </c>
      <c r="AC64" s="104" cm="1">
        <f t="array" ref="AC64">SUMPRODUCT(('Projects Overview'!$B$2:$B$5021="Travelling Block")*('Projects Overview'!$G$2:$G$5021="Risk Release")*('Projects Overview'!AL$2:AL$5021))</f>
        <v>0</v>
      </c>
      <c r="AD64" s="104" cm="1">
        <f t="array" ref="AD64">SUMPRODUCT(('Projects Overview'!$B$2:$B$5021="Travelling Block")*('Projects Overview'!$G$2:$G$5021="Risk Release")*('Projects Overview'!AM$2:AM$5021))</f>
        <v>0</v>
      </c>
      <c r="AE64" s="104" cm="1">
        <f t="array" ref="AE64">SUMPRODUCT(('Projects Overview'!$B$2:$B$5021="Travelling Block")*('Projects Overview'!$G$2:$G$5021="Risk Release")*('Projects Overview'!AN$2:AN$5021))</f>
        <v>0</v>
      </c>
      <c r="AF64" s="104" cm="1">
        <f t="array" ref="AF64">SUMPRODUCT(('Projects Overview'!$B$2:$B$5021="Travelling Block")*('Projects Overview'!$G$2:$G$5021="Risk Release")*('Projects Overview'!AO$2:AO$5021))</f>
        <v>0</v>
      </c>
      <c r="AG64" s="104" cm="1">
        <f t="array" ref="AG64">SUMPRODUCT(('Projects Overview'!$B$2:$B$5021="Travelling Block")*('Projects Overview'!$G$2:$G$5021="Risk Release")*('Projects Overview'!AP$2:AP$5021))</f>
        <v>0</v>
      </c>
      <c r="AH64" s="104" cm="1">
        <f t="array" ref="AH64">SUMPRODUCT(('Projects Overview'!$B$2:$B$5021="Travelling Block")*('Projects Overview'!$G$2:$G$5021="Risk Release")*('Projects Overview'!AQ$2:AQ$5021))</f>
        <v>0</v>
      </c>
      <c r="AI64" s="104" cm="1">
        <f t="array" ref="AI64">SUMPRODUCT(('Projects Overview'!$B$2:$B$5021="Travelling Block")*('Projects Overview'!$G$2:$G$5021="Risk Release")*('Projects Overview'!AR$2:AR$5021))</f>
        <v>0</v>
      </c>
      <c r="AJ64" s="104" cm="1">
        <f t="array" ref="AJ64">SUMPRODUCT(('Projects Overview'!$B$2:$B$5021="Travelling Block")*('Projects Overview'!$G$2:$G$5021="Risk Release")*('Projects Overview'!AS$2:AS$5021))</f>
        <v>0</v>
      </c>
      <c r="AK64" s="104" cm="1">
        <f t="array" ref="AK64">SUMPRODUCT(('Projects Overview'!$B$2:$B$5021="Travelling Block")*('Projects Overview'!$G$2:$G$5021="Risk Release")*('Projects Overview'!AT$2:AT$5021))</f>
        <v>0</v>
      </c>
      <c r="AL64" s="104" cm="1">
        <f t="array" ref="AL64">SUMPRODUCT(('Projects Overview'!$B$2:$B$5021="Travelling Block")*('Projects Overview'!$G$2:$G$5021="Risk Release")*('Projects Overview'!AU$2:AU$5021))</f>
        <v>0</v>
      </c>
      <c r="AM64" s="104" cm="1">
        <f t="array" ref="AM64">SUMPRODUCT(('Projects Overview'!$B$2:$B$5021="Travelling Block")*('Projects Overview'!$G$2:$G$5021="Risk Release")*('Projects Overview'!AV$2:AV$5021))</f>
        <v>0</v>
      </c>
      <c r="AN64" s="9"/>
    </row>
    <row r="65" spans="1:40" ht="14.5" customHeight="1" x14ac:dyDescent="0.35">
      <c r="A65" s="222"/>
      <c r="B65" s="226"/>
      <c r="C65" s="3" t="s">
        <v>8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  <c r="I65" s="104" cm="1">
        <f t="array" ref="I65">SUMPRODUCT(('Projects Overview'!$B$2:$B$5021="Travelling Block")*('Projects Overview'!$G$2:$G$5021="Forecast")*('Projects Overview'!R$2:R$5021))</f>
        <v>0</v>
      </c>
      <c r="J65" s="104" cm="1">
        <f t="array" ref="J65">SUMPRODUCT(('Projects Overview'!$B$2:$B$5021="Travelling Block")*('Projects Overview'!$G$2:$G$5021="Forecast")*('Projects Overview'!S$2:S$5021))</f>
        <v>0</v>
      </c>
      <c r="K65" s="104" cm="1">
        <f t="array" ref="K65">SUMPRODUCT(('Projects Overview'!$B$2:$B$5021="Travelling Block")*('Projects Overview'!$G$2:$G$5021="Forecast")*('Projects Overview'!T$2:T$5021))</f>
        <v>0</v>
      </c>
      <c r="L65" s="104" cm="1">
        <f t="array" ref="L65">SUMPRODUCT(('Projects Overview'!$B$2:$B$5021="Travelling Block")*('Projects Overview'!$G$2:$G$5021="Forecast")*('Projects Overview'!U$2:U$5021))</f>
        <v>0</v>
      </c>
      <c r="M65" s="104" cm="1">
        <f t="array" ref="M65">SUMPRODUCT(('Projects Overview'!$B$2:$B$5021="Travelling Block")*('Projects Overview'!$G$2:$G$5021="Forecast")*('Projects Overview'!V$2:V$5021))</f>
        <v>0</v>
      </c>
      <c r="N65" s="104" cm="1">
        <f t="array" ref="N65">SUMPRODUCT(('Projects Overview'!$B$2:$B$5021="Travelling Block")*('Projects Overview'!$G$2:$G$5021="Forecast")*('Projects Overview'!W$2:W$5021))</f>
        <v>0</v>
      </c>
      <c r="O65" s="104" cm="1">
        <f t="array" ref="O65">SUMPRODUCT(('Projects Overview'!$B$2:$B$5021="Travelling Block")*('Projects Overview'!$G$2:$G$5021="Forecast")*('Projects Overview'!X$2:X$5021))</f>
        <v>0</v>
      </c>
      <c r="P65" s="104" cm="1">
        <f t="array" ref="P65">SUMPRODUCT(('Projects Overview'!$B$2:$B$5021="Travelling Block")*('Projects Overview'!$G$2:$G$5021="Forecast")*('Projects Overview'!Y$2:Y$5021))</f>
        <v>0</v>
      </c>
      <c r="Q65" s="104" cm="1">
        <f t="array" ref="Q65">SUMPRODUCT(('Projects Overview'!$B$2:$B$5021="Travelling Block")*('Projects Overview'!$G$2:$G$5021="Forecast")*('Projects Overview'!Z$2:Z$5021))</f>
        <v>0</v>
      </c>
      <c r="R65" s="104" cm="1">
        <f t="array" ref="R65">SUMPRODUCT(('Projects Overview'!$B$2:$B$5021="Travelling Block")*('Projects Overview'!$G$2:$G$5021="Forecast")*('Projects Overview'!AA$2:AA$5021))</f>
        <v>234.66666666666666</v>
      </c>
      <c r="S65" s="104" cm="1">
        <f t="array" ref="S65">SUMPRODUCT(('Projects Overview'!$B$2:$B$5021="Travelling Block")*('Projects Overview'!$G$2:$G$5021="Forecast")*('Projects Overview'!AB$2:AB$5021))</f>
        <v>234.66666666666666</v>
      </c>
      <c r="T65" s="104" cm="1">
        <f t="array" ref="T65">SUMPRODUCT(('Projects Overview'!$B$2:$B$5021="Travelling Block")*('Projects Overview'!$G$2:$G$5021="Forecast")*('Projects Overview'!AC$2:AC$5021))</f>
        <v>469.33333333333331</v>
      </c>
      <c r="U65" s="104" cm="1">
        <f t="array" ref="U65">SUMPRODUCT(('Projects Overview'!$B$2:$B$5021="Travelling Block")*('Projects Overview'!$G$2:$G$5021="Forecast")*('Projects Overview'!AD$2:AD$5021))</f>
        <v>234.66666666666666</v>
      </c>
      <c r="V65" s="104" cm="1">
        <f t="array" ref="V65">SUMPRODUCT(('Projects Overview'!$B$2:$B$5021="Travelling Block")*('Projects Overview'!$G$2:$G$5021="Forecast")*('Projects Overview'!AE$2:AE$5021))</f>
        <v>234.66666666666666</v>
      </c>
      <c r="W65" s="104" cm="1">
        <f t="array" ref="W65">SUMPRODUCT(('Projects Overview'!$B$2:$B$5021="Travelling Block")*('Projects Overview'!$G$2:$G$5021="Forecast")*('Projects Overview'!AF$2:AF$5021))</f>
        <v>0</v>
      </c>
      <c r="X65" s="104" cm="1">
        <f t="array" ref="X65">SUMPRODUCT(('Projects Overview'!$B$2:$B$5021="Travelling Block")*('Projects Overview'!$G$2:$G$5021="Forecast")*('Projects Overview'!AG$2:AG$5021))</f>
        <v>0</v>
      </c>
      <c r="Y65" s="104" cm="1">
        <f t="array" ref="Y65">SUMPRODUCT(('Projects Overview'!$B$2:$B$5021="Travelling Block")*('Projects Overview'!$G$2:$G$5021="Forecast")*('Projects Overview'!AH$2:AH$5021))</f>
        <v>0</v>
      </c>
      <c r="Z65" s="104" cm="1">
        <f t="array" ref="Z65">SUMPRODUCT(('Projects Overview'!$B$2:$B$5021="Travelling Block")*('Projects Overview'!$G$2:$G$5021="Forecast")*('Projects Overview'!AI$2:AI$5021))</f>
        <v>0</v>
      </c>
      <c r="AA65" s="104" cm="1">
        <f t="array" ref="AA65">SUMPRODUCT(('Projects Overview'!$B$2:$B$5021="Travelling Block")*('Projects Overview'!$G$2:$G$5021="Forecast")*('Projects Overview'!AJ$2:AJ$5021))</f>
        <v>0</v>
      </c>
      <c r="AB65" s="104" cm="1">
        <f t="array" ref="AB65">SUMPRODUCT(('Projects Overview'!$B$2:$B$5021="Travelling Block")*('Projects Overview'!$G$2:$G$5021="Forecast")*('Projects Overview'!AK$2:AK$5021))</f>
        <v>0</v>
      </c>
      <c r="AC65" s="104" cm="1">
        <f t="array" ref="AC65">SUMPRODUCT(('Projects Overview'!$B$2:$B$5021="Travelling Block")*('Projects Overview'!$G$2:$G$5021="Forecast")*('Projects Overview'!AL$2:AL$5021))</f>
        <v>0</v>
      </c>
      <c r="AD65" s="104" cm="1">
        <f t="array" ref="AD65">SUMPRODUCT(('Projects Overview'!$B$2:$B$5021="Travelling Block")*('Projects Overview'!$G$2:$G$5021="Forecast")*('Projects Overview'!AM$2:AM$5021))</f>
        <v>0</v>
      </c>
      <c r="AE65" s="104" cm="1">
        <f t="array" ref="AE65">SUMPRODUCT(('Projects Overview'!$B$2:$B$5021="Travelling Block")*('Projects Overview'!$G$2:$G$5021="Forecast")*('Projects Overview'!AN$2:AN$5021))</f>
        <v>0</v>
      </c>
      <c r="AF65" s="104" cm="1">
        <f t="array" ref="AF65">SUMPRODUCT(('Projects Overview'!$B$2:$B$5021="Travelling Block")*('Projects Overview'!$G$2:$G$5021="Forecast")*('Projects Overview'!AO$2:AO$5021))</f>
        <v>0</v>
      </c>
      <c r="AG65" s="104" cm="1">
        <f t="array" ref="AG65">SUMPRODUCT(('Projects Overview'!$B$2:$B$5021="Travelling Block")*('Projects Overview'!$G$2:$G$5021="Forecast")*('Projects Overview'!AP$2:AP$5021))</f>
        <v>0</v>
      </c>
      <c r="AH65" s="104" cm="1">
        <f t="array" ref="AH65">SUMPRODUCT(('Projects Overview'!$B$2:$B$5021="Travelling Block")*('Projects Overview'!$G$2:$G$5021="Forecast")*('Projects Overview'!AQ$2:AQ$5021))</f>
        <v>0</v>
      </c>
      <c r="AI65" s="104" cm="1">
        <f t="array" ref="AI65">SUMPRODUCT(('Projects Overview'!$B$2:$B$5021="Travelling Block")*('Projects Overview'!$G$2:$G$5021="Forecast")*('Projects Overview'!AR$2:AR$5021))</f>
        <v>0</v>
      </c>
      <c r="AJ65" s="104" cm="1">
        <f t="array" ref="AJ65">SUMPRODUCT(('Projects Overview'!$B$2:$B$5021="Travelling Block")*('Projects Overview'!$G$2:$G$5021="Forecast")*('Projects Overview'!AS$2:AS$5021))</f>
        <v>0</v>
      </c>
      <c r="AK65" s="104" cm="1">
        <f t="array" ref="AK65">SUMPRODUCT(('Projects Overview'!$B$2:$B$5021="Travelling Block")*('Projects Overview'!$G$2:$G$5021="Forecast")*('Projects Overview'!AT$2:AT$5021))</f>
        <v>0</v>
      </c>
      <c r="AL65" s="104" cm="1">
        <f t="array" ref="AL65">SUMPRODUCT(('Projects Overview'!$B$2:$B$5021="Travelling Block")*('Projects Overview'!$G$2:$G$5021="Forecast")*('Projects Overview'!AU$2:AU$5021))</f>
        <v>0</v>
      </c>
      <c r="AM65" s="104" cm="1">
        <f t="array" ref="AM65">SUMPRODUCT(('Projects Overview'!$B$2:$B$5021="Travelling Block")*('Projects Overview'!$G$2:$G$5021="Forecast")*('Projects Overview'!AV$2:AV$5021))</f>
        <v>0</v>
      </c>
      <c r="AN65" s="9"/>
    </row>
    <row r="66" spans="1:40" ht="14.5" customHeight="1" x14ac:dyDescent="0.35">
      <c r="A66" s="222"/>
      <c r="B66" s="224" t="s">
        <v>141</v>
      </c>
      <c r="C66" s="1" t="s">
        <v>4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 cm="1">
        <f t="array" ref="I66">SUMPRODUCT(('Projects Overview'!$B$2:$B$5021="Rocker Arm")*('Projects Overview'!$G$2:$G$5021="Firm")*('Projects Overview'!R$2:R$5021))</f>
        <v>0</v>
      </c>
      <c r="J66" s="104" cm="1">
        <f t="array" ref="J66">SUMPRODUCT(('Projects Overview'!$B$2:$B$5021="Rocker Arm")*('Projects Overview'!$G$2:$G$5021="Firm")*('Projects Overview'!S$2:S$5021))</f>
        <v>0</v>
      </c>
      <c r="K66" s="104" cm="1">
        <f t="array" ref="K66">SUMPRODUCT(('Projects Overview'!$B$2:$B$5021="Rocker Arm")*('Projects Overview'!$G$2:$G$5021="Firm")*('Projects Overview'!T$2:T$5021))</f>
        <v>0</v>
      </c>
      <c r="L66" s="104" cm="1">
        <f t="array" ref="L66">SUMPRODUCT(('Projects Overview'!$B$2:$B$5021="Rocker Arm")*('Projects Overview'!$G$2:$G$5021="Firm")*('Projects Overview'!U$2:U$5021))</f>
        <v>0</v>
      </c>
      <c r="M66" s="104" cm="1">
        <f t="array" ref="M66">SUMPRODUCT(('Projects Overview'!$B$2:$B$5021="Rocker Arm")*('Projects Overview'!$G$2:$G$5021="Firm")*('Projects Overview'!V$2:V$5021))</f>
        <v>0</v>
      </c>
      <c r="N66" s="104" cm="1">
        <f t="array" ref="N66">SUMPRODUCT(('Projects Overview'!$B$2:$B$5021="Rocker Arm")*('Projects Overview'!$G$2:$G$5021="Firm")*('Projects Overview'!W$2:W$5021))</f>
        <v>0</v>
      </c>
      <c r="O66" s="104" cm="1">
        <f t="array" ref="O66">SUMPRODUCT(('Projects Overview'!$B$2:$B$5021="Rocker Arm")*('Projects Overview'!$G$2:$G$5021="Firm")*('Projects Overview'!X$2:X$5021))</f>
        <v>0</v>
      </c>
      <c r="P66" s="104" cm="1">
        <f t="array" ref="P66">SUMPRODUCT(('Projects Overview'!$B$2:$B$5021="Rocker Arm")*('Projects Overview'!$G$2:$G$5021="Firm")*('Projects Overview'!Y$2:Y$5021))</f>
        <v>0</v>
      </c>
      <c r="Q66" s="104" cm="1">
        <f t="array" ref="Q66">SUMPRODUCT(('Projects Overview'!$B$2:$B$5021="Rocker Arm")*('Projects Overview'!$G$2:$G$5021="Firm")*('Projects Overview'!Z$2:Z$5021))</f>
        <v>0</v>
      </c>
      <c r="R66" s="104" cm="1">
        <f t="array" ref="R66">SUMPRODUCT(('Projects Overview'!$B$2:$B$5021="Rocker Arm")*('Projects Overview'!$G$2:$G$5021="Firm")*('Projects Overview'!AA$2:AA$5021))</f>
        <v>0</v>
      </c>
      <c r="S66" s="104" cm="1">
        <f t="array" ref="S66">SUMPRODUCT(('Projects Overview'!$B$2:$B$5021="Rocker Arm")*('Projects Overview'!$G$2:$G$5021="Firm")*('Projects Overview'!AB$2:AB$5021))</f>
        <v>0</v>
      </c>
      <c r="T66" s="104" cm="1">
        <f t="array" ref="T66">SUMPRODUCT(('Projects Overview'!$B$2:$B$5021="Rocker Arm")*('Projects Overview'!$G$2:$G$5021="Firm")*('Projects Overview'!AC$2:AC$5021))</f>
        <v>0</v>
      </c>
      <c r="U66" s="104" cm="1">
        <f t="array" ref="U66">SUMPRODUCT(('Projects Overview'!$B$2:$B$5021="Rocker Arm")*('Projects Overview'!$G$2:$G$5021="Firm")*('Projects Overview'!AD$2:AD$5021))</f>
        <v>0</v>
      </c>
      <c r="V66" s="104" cm="1">
        <f t="array" ref="V66">SUMPRODUCT(('Projects Overview'!$B$2:$B$5021="Rocker Arm")*('Projects Overview'!$G$2:$G$5021="Firm")*('Projects Overview'!AE$2:AE$5021))</f>
        <v>0</v>
      </c>
      <c r="W66" s="104" cm="1">
        <f t="array" ref="W66">SUMPRODUCT(('Projects Overview'!$B$2:$B$5021="Rocker Arm")*('Projects Overview'!$G$2:$G$5021="Firm")*('Projects Overview'!AF$2:AF$5021))</f>
        <v>0</v>
      </c>
      <c r="X66" s="104" cm="1">
        <f t="array" ref="X66">SUMPRODUCT(('Projects Overview'!$B$2:$B$5021="Rocker Arm")*('Projects Overview'!$G$2:$G$5021="Firm")*('Projects Overview'!AG$2:AG$5021))</f>
        <v>0</v>
      </c>
      <c r="Y66" s="104" cm="1">
        <f t="array" ref="Y66">SUMPRODUCT(('Projects Overview'!$B$2:$B$5021="Rocker Arm")*('Projects Overview'!$G$2:$G$5021="Firm")*('Projects Overview'!AH$2:AH$5021))</f>
        <v>0</v>
      </c>
      <c r="Z66" s="104" cm="1">
        <f t="array" ref="Z66">SUMPRODUCT(('Projects Overview'!$B$2:$B$5021="Rocker Arm")*('Projects Overview'!$G$2:$G$5021="Firm")*('Projects Overview'!AI$2:AI$5021))</f>
        <v>0</v>
      </c>
      <c r="AA66" s="104" cm="1">
        <f t="array" ref="AA66">SUMPRODUCT(('Projects Overview'!$B$2:$B$5021="Rocker Arm")*('Projects Overview'!$G$2:$G$5021="Firm")*('Projects Overview'!AJ$2:AJ$5021))</f>
        <v>0</v>
      </c>
      <c r="AB66" s="104" cm="1">
        <f t="array" ref="AB66">SUMPRODUCT(('Projects Overview'!$B$2:$B$5021="Rocker Arm")*('Projects Overview'!$G$2:$G$5021="Firm")*('Projects Overview'!AK$2:AK$5021))</f>
        <v>0</v>
      </c>
      <c r="AC66" s="104" cm="1">
        <f t="array" ref="AC66">SUMPRODUCT(('Projects Overview'!$B$2:$B$5021="Rocker Arm")*('Projects Overview'!$G$2:$G$5021="Firm")*('Projects Overview'!AL$2:AL$5021))</f>
        <v>0</v>
      </c>
      <c r="AD66" s="104" cm="1">
        <f t="array" ref="AD66">SUMPRODUCT(('Projects Overview'!$B$2:$B$5021="Rocker Arm")*('Projects Overview'!$G$2:$G$5021="Firm")*('Projects Overview'!AM$2:AM$5021))</f>
        <v>0</v>
      </c>
      <c r="AE66" s="104" cm="1">
        <f t="array" ref="AE66">SUMPRODUCT(('Projects Overview'!$B$2:$B$5021="Rocker Arm")*('Projects Overview'!$G$2:$G$5021="Firm")*('Projects Overview'!AN$2:AN$5021))</f>
        <v>0</v>
      </c>
      <c r="AF66" s="104" cm="1">
        <f t="array" ref="AF66">SUMPRODUCT(('Projects Overview'!$B$2:$B$5021="Rocker Arm")*('Projects Overview'!$G$2:$G$5021="Firm")*('Projects Overview'!AO$2:AO$5021))</f>
        <v>0</v>
      </c>
      <c r="AG66" s="104" cm="1">
        <f t="array" ref="AG66">SUMPRODUCT(('Projects Overview'!$B$2:$B$5021="Rocker Arm")*('Projects Overview'!$G$2:$G$5021="Firm")*('Projects Overview'!AP$2:AP$5021))</f>
        <v>0</v>
      </c>
      <c r="AH66" s="104" cm="1">
        <f t="array" ref="AH66">SUMPRODUCT(('Projects Overview'!$B$2:$B$5021="Rocker Arm")*('Projects Overview'!$G$2:$G$5021="Firm")*('Projects Overview'!AQ$2:AQ$5021))</f>
        <v>0</v>
      </c>
      <c r="AI66" s="104" cm="1">
        <f t="array" ref="AI66">SUMPRODUCT(('Projects Overview'!$B$2:$B$5021="Rocker Arm")*('Projects Overview'!$G$2:$G$5021="Firm")*('Projects Overview'!AR$2:AR$5021))</f>
        <v>0</v>
      </c>
      <c r="AJ66" s="104" cm="1">
        <f t="array" ref="AJ66">SUMPRODUCT(('Projects Overview'!$B$2:$B$5021="Rocker Arm")*('Projects Overview'!$G$2:$G$5021="Firm")*('Projects Overview'!AS$2:AS$5021))</f>
        <v>0</v>
      </c>
      <c r="AK66" s="104" cm="1">
        <f t="array" ref="AK66">SUMPRODUCT(('Projects Overview'!$B$2:$B$5021="Rocker Arm")*('Projects Overview'!$G$2:$G$5021="Firm")*('Projects Overview'!AT$2:AT$5021))</f>
        <v>0</v>
      </c>
      <c r="AL66" s="104" cm="1">
        <f t="array" ref="AL66">SUMPRODUCT(('Projects Overview'!$B$2:$B$5021="Rocker Arm")*('Projects Overview'!$G$2:$G$5021="Firm")*('Projects Overview'!AU$2:AU$5021))</f>
        <v>0</v>
      </c>
      <c r="AM66" s="104" cm="1">
        <f t="array" ref="AM66">SUMPRODUCT(('Projects Overview'!$B$2:$B$5021="Rocker Arm")*('Projects Overview'!$G$2:$G$5021="Firm")*('Projects Overview'!AV$2:AV$5021))</f>
        <v>0</v>
      </c>
      <c r="AN66" s="9"/>
    </row>
    <row r="67" spans="1:40" ht="14.5" customHeight="1" x14ac:dyDescent="0.35">
      <c r="A67" s="222"/>
      <c r="B67" s="225"/>
      <c r="C67" s="2" t="s">
        <v>6</v>
      </c>
      <c r="D67" s="104">
        <v>0</v>
      </c>
      <c r="E67" s="104">
        <v>0</v>
      </c>
      <c r="F67" s="104">
        <v>0</v>
      </c>
      <c r="G67" s="104">
        <v>0</v>
      </c>
      <c r="H67" s="104">
        <v>0</v>
      </c>
      <c r="I67" s="104" cm="1">
        <f t="array" ref="I67">SUMPRODUCT(('Projects Overview'!$B$2:$B$5021="Rocker Arm")*('Projects Overview'!$G$2:$G$5021="Risk Release")*('Projects Overview'!R$2:R$5021))</f>
        <v>0</v>
      </c>
      <c r="J67" s="104" cm="1">
        <f t="array" ref="J67">SUMPRODUCT(('Projects Overview'!$B$2:$B$5021="Rocker Arm")*('Projects Overview'!$G$2:$G$5021="Risk Release")*('Projects Overview'!S$2:S$5021))</f>
        <v>0</v>
      </c>
      <c r="K67" s="104" cm="1">
        <f t="array" ref="K67">SUMPRODUCT(('Projects Overview'!$B$2:$B$5021="Rocker Arm")*('Projects Overview'!$G$2:$G$5021="Risk Release")*('Projects Overview'!T$2:T$5021))</f>
        <v>0</v>
      </c>
      <c r="L67" s="104" cm="1">
        <f t="array" ref="L67">SUMPRODUCT(('Projects Overview'!$B$2:$B$5021="Rocker Arm")*('Projects Overview'!$G$2:$G$5021="Risk Release")*('Projects Overview'!U$2:U$5021))</f>
        <v>0</v>
      </c>
      <c r="M67" s="104" cm="1">
        <f t="array" ref="M67">SUMPRODUCT(('Projects Overview'!$B$2:$B$5021="Rocker Arm")*('Projects Overview'!$G$2:$G$5021="Risk Release")*('Projects Overview'!V$2:V$5021))</f>
        <v>0</v>
      </c>
      <c r="N67" s="104" cm="1">
        <f t="array" ref="N67">SUMPRODUCT(('Projects Overview'!$B$2:$B$5021="Rocker Arm")*('Projects Overview'!$G$2:$G$5021="Risk Release")*('Projects Overview'!W$2:W$5021))</f>
        <v>0</v>
      </c>
      <c r="O67" s="104" cm="1">
        <f t="array" ref="O67">SUMPRODUCT(('Projects Overview'!$B$2:$B$5021="Rocker Arm")*('Projects Overview'!$G$2:$G$5021="Risk Release")*('Projects Overview'!X$2:X$5021))</f>
        <v>0</v>
      </c>
      <c r="P67" s="104" cm="1">
        <f t="array" ref="P67">SUMPRODUCT(('Projects Overview'!$B$2:$B$5021="Rocker Arm")*('Projects Overview'!$G$2:$G$5021="Risk Release")*('Projects Overview'!Y$2:Y$5021))</f>
        <v>0</v>
      </c>
      <c r="Q67" s="104" cm="1">
        <f t="array" ref="Q67">SUMPRODUCT(('Projects Overview'!$B$2:$B$5021="Rocker Arm")*('Projects Overview'!$G$2:$G$5021="Risk Release")*('Projects Overview'!Z$2:Z$5021))</f>
        <v>0</v>
      </c>
      <c r="R67" s="104" cm="1">
        <f t="array" ref="R67">SUMPRODUCT(('Projects Overview'!$B$2:$B$5021="Rocker Arm")*('Projects Overview'!$G$2:$G$5021="Risk Release")*('Projects Overview'!AA$2:AA$5021))</f>
        <v>0</v>
      </c>
      <c r="S67" s="104" cm="1">
        <f t="array" ref="S67">SUMPRODUCT(('Projects Overview'!$B$2:$B$5021="Rocker Arm")*('Projects Overview'!$G$2:$G$5021="Risk Release")*('Projects Overview'!AB$2:AB$5021))</f>
        <v>0</v>
      </c>
      <c r="T67" s="104" cm="1">
        <f t="array" ref="T67">SUMPRODUCT(('Projects Overview'!$B$2:$B$5021="Rocker Arm")*('Projects Overview'!$G$2:$G$5021="Risk Release")*('Projects Overview'!AC$2:AC$5021))</f>
        <v>0</v>
      </c>
      <c r="U67" s="104" cm="1">
        <f t="array" ref="U67">SUMPRODUCT(('Projects Overview'!$B$2:$B$5021="Rocker Arm")*('Projects Overview'!$G$2:$G$5021="Risk Release")*('Projects Overview'!AD$2:AD$5021))</f>
        <v>0</v>
      </c>
      <c r="V67" s="104" cm="1">
        <f t="array" ref="V67">SUMPRODUCT(('Projects Overview'!$B$2:$B$5021="Rocker Arm")*('Projects Overview'!$G$2:$G$5021="Risk Release")*('Projects Overview'!AE$2:AE$5021))</f>
        <v>0</v>
      </c>
      <c r="W67" s="104" cm="1">
        <f t="array" ref="W67">SUMPRODUCT(('Projects Overview'!$B$2:$B$5021="Rocker Arm")*('Projects Overview'!$G$2:$G$5021="Risk Release")*('Projects Overview'!AF$2:AF$5021))</f>
        <v>0</v>
      </c>
      <c r="X67" s="104" cm="1">
        <f t="array" ref="X67">SUMPRODUCT(('Projects Overview'!$B$2:$B$5021="Rocker Arm")*('Projects Overview'!$G$2:$G$5021="Risk Release")*('Projects Overview'!AG$2:AG$5021))</f>
        <v>0</v>
      </c>
      <c r="Y67" s="104" cm="1">
        <f t="array" ref="Y67">SUMPRODUCT(('Projects Overview'!$B$2:$B$5021="Rocker Arm")*('Projects Overview'!$G$2:$G$5021="Risk Release")*('Projects Overview'!AH$2:AH$5021))</f>
        <v>0</v>
      </c>
      <c r="Z67" s="104" cm="1">
        <f t="array" ref="Z67">SUMPRODUCT(('Projects Overview'!$B$2:$B$5021="Rocker Arm")*('Projects Overview'!$G$2:$G$5021="Risk Release")*('Projects Overview'!AI$2:AI$5021))</f>
        <v>0</v>
      </c>
      <c r="AA67" s="104" cm="1">
        <f t="array" ref="AA67">SUMPRODUCT(('Projects Overview'!$B$2:$B$5021="Rocker Arm")*('Projects Overview'!$G$2:$G$5021="Risk Release")*('Projects Overview'!AJ$2:AJ$5021))</f>
        <v>0</v>
      </c>
      <c r="AB67" s="104" cm="1">
        <f t="array" ref="AB67">SUMPRODUCT(('Projects Overview'!$B$2:$B$5021="Rocker Arm")*('Projects Overview'!$G$2:$G$5021="Risk Release")*('Projects Overview'!AK$2:AK$5021))</f>
        <v>0</v>
      </c>
      <c r="AC67" s="104" cm="1">
        <f t="array" ref="AC67">SUMPRODUCT(('Projects Overview'!$B$2:$B$5021="Rocker Arm")*('Projects Overview'!$G$2:$G$5021="Risk Release")*('Projects Overview'!AL$2:AL$5021))</f>
        <v>0</v>
      </c>
      <c r="AD67" s="104" cm="1">
        <f t="array" ref="AD67">SUMPRODUCT(('Projects Overview'!$B$2:$B$5021="Rocker Arm")*('Projects Overview'!$G$2:$G$5021="Risk Release")*('Projects Overview'!AM$2:AM$5021))</f>
        <v>0</v>
      </c>
      <c r="AE67" s="104" cm="1">
        <f t="array" ref="AE67">SUMPRODUCT(('Projects Overview'!$B$2:$B$5021="Rocker Arm")*('Projects Overview'!$G$2:$G$5021="Risk Release")*('Projects Overview'!AN$2:AN$5021))</f>
        <v>0</v>
      </c>
      <c r="AF67" s="104" cm="1">
        <f t="array" ref="AF67">SUMPRODUCT(('Projects Overview'!$B$2:$B$5021="Rocker Arm")*('Projects Overview'!$G$2:$G$5021="Risk Release")*('Projects Overview'!AO$2:AO$5021))</f>
        <v>0</v>
      </c>
      <c r="AG67" s="104" cm="1">
        <f t="array" ref="AG67">SUMPRODUCT(('Projects Overview'!$B$2:$B$5021="Rocker Arm")*('Projects Overview'!$G$2:$G$5021="Risk Release")*('Projects Overview'!AP$2:AP$5021))</f>
        <v>0</v>
      </c>
      <c r="AH67" s="104" cm="1">
        <f t="array" ref="AH67">SUMPRODUCT(('Projects Overview'!$B$2:$B$5021="Rocker Arm")*('Projects Overview'!$G$2:$G$5021="Risk Release")*('Projects Overview'!AQ$2:AQ$5021))</f>
        <v>0</v>
      </c>
      <c r="AI67" s="104" cm="1">
        <f t="array" ref="AI67">SUMPRODUCT(('Projects Overview'!$B$2:$B$5021="Rocker Arm")*('Projects Overview'!$G$2:$G$5021="Risk Release")*('Projects Overview'!AR$2:AR$5021))</f>
        <v>0</v>
      </c>
      <c r="AJ67" s="104" cm="1">
        <f t="array" ref="AJ67">SUMPRODUCT(('Projects Overview'!$B$2:$B$5021="Rocker Arm")*('Projects Overview'!$G$2:$G$5021="Risk Release")*('Projects Overview'!AS$2:AS$5021))</f>
        <v>0</v>
      </c>
      <c r="AK67" s="104" cm="1">
        <f t="array" ref="AK67">SUMPRODUCT(('Projects Overview'!$B$2:$B$5021="Rocker Arm")*('Projects Overview'!$G$2:$G$5021="Risk Release")*('Projects Overview'!AT$2:AT$5021))</f>
        <v>0</v>
      </c>
      <c r="AL67" s="104" cm="1">
        <f t="array" ref="AL67">SUMPRODUCT(('Projects Overview'!$B$2:$B$5021="Rocker Arm")*('Projects Overview'!$G$2:$G$5021="Risk Release")*('Projects Overview'!AU$2:AU$5021))</f>
        <v>0</v>
      </c>
      <c r="AM67" s="104" cm="1">
        <f t="array" ref="AM67">SUMPRODUCT(('Projects Overview'!$B$2:$B$5021="Rocker Arm")*('Projects Overview'!$G$2:$G$5021="Risk Release")*('Projects Overview'!AV$2:AV$5021))</f>
        <v>0</v>
      </c>
      <c r="AN67" s="9"/>
    </row>
    <row r="68" spans="1:40" ht="14.5" customHeight="1" x14ac:dyDescent="0.35">
      <c r="A68" s="222"/>
      <c r="B68" s="226"/>
      <c r="C68" s="3" t="s">
        <v>8</v>
      </c>
      <c r="D68" s="104">
        <v>0</v>
      </c>
      <c r="E68" s="104">
        <v>0</v>
      </c>
      <c r="F68" s="104">
        <v>0</v>
      </c>
      <c r="G68" s="104">
        <v>0</v>
      </c>
      <c r="H68" s="104">
        <v>0</v>
      </c>
      <c r="I68" s="104" cm="1">
        <f t="array" ref="I68">SUMPRODUCT(('Projects Overview'!$B$2:$B$5021="Rocker Arm")*('Projects Overview'!$G$2:$G$5021="Forecast")*('Projects Overview'!R$2:R$5021))</f>
        <v>0</v>
      </c>
      <c r="J68" s="104" cm="1">
        <f t="array" ref="J68">SUMPRODUCT(('Projects Overview'!$B$2:$B$5021="Rocker Arm")*('Projects Overview'!$G$2:$G$5021="Forecast")*('Projects Overview'!S$2:S$5021))</f>
        <v>0</v>
      </c>
      <c r="K68" s="104" cm="1">
        <f t="array" ref="K68">SUMPRODUCT(('Projects Overview'!$B$2:$B$5021="Rocker Arm")*('Projects Overview'!$G$2:$G$5021="Forecast")*('Projects Overview'!T$2:T$5021))</f>
        <v>0</v>
      </c>
      <c r="L68" s="104" cm="1">
        <f t="array" ref="L68">SUMPRODUCT(('Projects Overview'!$B$2:$B$5021="Rocker Arm")*('Projects Overview'!$G$2:$G$5021="Forecast")*('Projects Overview'!U$2:U$5021))</f>
        <v>0</v>
      </c>
      <c r="M68" s="104" cm="1">
        <f t="array" ref="M68">SUMPRODUCT(('Projects Overview'!$B$2:$B$5021="Rocker Arm")*('Projects Overview'!$G$2:$G$5021="Forecast")*('Projects Overview'!V$2:V$5021))</f>
        <v>0</v>
      </c>
      <c r="N68" s="104" cm="1">
        <f t="array" ref="N68">SUMPRODUCT(('Projects Overview'!$B$2:$B$5021="Rocker Arm")*('Projects Overview'!$G$2:$G$5021="Forecast")*('Projects Overview'!W$2:W$5021))</f>
        <v>0</v>
      </c>
      <c r="O68" s="104" cm="1">
        <f t="array" ref="O68">SUMPRODUCT(('Projects Overview'!$B$2:$B$5021="Rocker Arm")*('Projects Overview'!$G$2:$G$5021="Forecast")*('Projects Overview'!X$2:X$5021))</f>
        <v>0</v>
      </c>
      <c r="P68" s="104" cm="1">
        <f t="array" ref="P68">SUMPRODUCT(('Projects Overview'!$B$2:$B$5021="Rocker Arm")*('Projects Overview'!$G$2:$G$5021="Forecast")*('Projects Overview'!Y$2:Y$5021))</f>
        <v>0</v>
      </c>
      <c r="Q68" s="104" cm="1">
        <f t="array" ref="Q68">SUMPRODUCT(('Projects Overview'!$B$2:$B$5021="Rocker Arm")*('Projects Overview'!$G$2:$G$5021="Forecast")*('Projects Overview'!Z$2:Z$5021))</f>
        <v>0</v>
      </c>
      <c r="R68" s="104" cm="1">
        <f t="array" ref="R68">SUMPRODUCT(('Projects Overview'!$B$2:$B$5021="Rocker Arm")*('Projects Overview'!$G$2:$G$5021="Forecast")*('Projects Overview'!AA$2:AA$5021))</f>
        <v>0</v>
      </c>
      <c r="S68" s="104" cm="1">
        <f t="array" ref="S68">SUMPRODUCT(('Projects Overview'!$B$2:$B$5021="Rocker Arm")*('Projects Overview'!$G$2:$G$5021="Forecast")*('Projects Overview'!AB$2:AB$5021))</f>
        <v>0</v>
      </c>
      <c r="T68" s="104" cm="1">
        <f t="array" ref="T68">SUMPRODUCT(('Projects Overview'!$B$2:$B$5021="Rocker Arm")*('Projects Overview'!$G$2:$G$5021="Forecast")*('Projects Overview'!AC$2:AC$5021))</f>
        <v>0</v>
      </c>
      <c r="U68" s="104" cm="1">
        <f t="array" ref="U68">SUMPRODUCT(('Projects Overview'!$B$2:$B$5021="Rocker Arm")*('Projects Overview'!$G$2:$G$5021="Forecast")*('Projects Overview'!AD$2:AD$5021))</f>
        <v>0</v>
      </c>
      <c r="V68" s="104" cm="1">
        <f t="array" ref="V68">SUMPRODUCT(('Projects Overview'!$B$2:$B$5021="Rocker Arm")*('Projects Overview'!$G$2:$G$5021="Forecast")*('Projects Overview'!AE$2:AE$5021))</f>
        <v>0</v>
      </c>
      <c r="W68" s="104" cm="1">
        <f t="array" ref="W68">SUMPRODUCT(('Projects Overview'!$B$2:$B$5021="Rocker Arm")*('Projects Overview'!$G$2:$G$5021="Forecast")*('Projects Overview'!AF$2:AF$5021))</f>
        <v>0</v>
      </c>
      <c r="X68" s="104" cm="1">
        <f t="array" ref="X68">SUMPRODUCT(('Projects Overview'!$B$2:$B$5021="Rocker Arm")*('Projects Overview'!$G$2:$G$5021="Forecast")*('Projects Overview'!AG$2:AG$5021))</f>
        <v>0</v>
      </c>
      <c r="Y68" s="104" cm="1">
        <f t="array" ref="Y68">SUMPRODUCT(('Projects Overview'!$B$2:$B$5021="Rocker Arm")*('Projects Overview'!$G$2:$G$5021="Forecast")*('Projects Overview'!AH$2:AH$5021))</f>
        <v>0</v>
      </c>
      <c r="Z68" s="104" cm="1">
        <f t="array" ref="Z68">SUMPRODUCT(('Projects Overview'!$B$2:$B$5021="Rocker Arm")*('Projects Overview'!$G$2:$G$5021="Forecast")*('Projects Overview'!AI$2:AI$5021))</f>
        <v>0</v>
      </c>
      <c r="AA68" s="104" cm="1">
        <f t="array" ref="AA68">SUMPRODUCT(('Projects Overview'!$B$2:$B$5021="Rocker Arm")*('Projects Overview'!$G$2:$G$5021="Forecast")*('Projects Overview'!AJ$2:AJ$5021))</f>
        <v>0</v>
      </c>
      <c r="AB68" s="104" cm="1">
        <f t="array" ref="AB68">SUMPRODUCT(('Projects Overview'!$B$2:$B$5021="Rocker Arm")*('Projects Overview'!$G$2:$G$5021="Forecast")*('Projects Overview'!AK$2:AK$5021))</f>
        <v>0</v>
      </c>
      <c r="AC68" s="104" cm="1">
        <f t="array" ref="AC68">SUMPRODUCT(('Projects Overview'!$B$2:$B$5021="Rocker Arm")*('Projects Overview'!$G$2:$G$5021="Forecast")*('Projects Overview'!AL$2:AL$5021))</f>
        <v>0</v>
      </c>
      <c r="AD68" s="104" cm="1">
        <f t="array" ref="AD68">SUMPRODUCT(('Projects Overview'!$B$2:$B$5021="Rocker Arm")*('Projects Overview'!$G$2:$G$5021="Forecast")*('Projects Overview'!AM$2:AM$5021))</f>
        <v>0</v>
      </c>
      <c r="AE68" s="104" cm="1">
        <f t="array" ref="AE68">SUMPRODUCT(('Projects Overview'!$B$2:$B$5021="Rocker Arm")*('Projects Overview'!$G$2:$G$5021="Forecast")*('Projects Overview'!AN$2:AN$5021))</f>
        <v>0</v>
      </c>
      <c r="AF68" s="104" cm="1">
        <f t="array" ref="AF68">SUMPRODUCT(('Projects Overview'!$B$2:$B$5021="Rocker Arm")*('Projects Overview'!$G$2:$G$5021="Forecast")*('Projects Overview'!AO$2:AO$5021))</f>
        <v>0</v>
      </c>
      <c r="AG68" s="104" cm="1">
        <f t="array" ref="AG68">SUMPRODUCT(('Projects Overview'!$B$2:$B$5021="Rocker Arm")*('Projects Overview'!$G$2:$G$5021="Forecast")*('Projects Overview'!AP$2:AP$5021))</f>
        <v>0</v>
      </c>
      <c r="AH68" s="104" cm="1">
        <f t="array" ref="AH68">SUMPRODUCT(('Projects Overview'!$B$2:$B$5021="Rocker Arm")*('Projects Overview'!$G$2:$G$5021="Forecast")*('Projects Overview'!AQ$2:AQ$5021))</f>
        <v>0</v>
      </c>
      <c r="AI68" s="104" cm="1">
        <f t="array" ref="AI68">SUMPRODUCT(('Projects Overview'!$B$2:$B$5021="Rocker Arm")*('Projects Overview'!$G$2:$G$5021="Forecast")*('Projects Overview'!AR$2:AR$5021))</f>
        <v>0</v>
      </c>
      <c r="AJ68" s="104" cm="1">
        <f t="array" ref="AJ68">SUMPRODUCT(('Projects Overview'!$B$2:$B$5021="Rocker Arm")*('Projects Overview'!$G$2:$G$5021="Forecast")*('Projects Overview'!AS$2:AS$5021))</f>
        <v>0</v>
      </c>
      <c r="AK68" s="104" cm="1">
        <f t="array" ref="AK68">SUMPRODUCT(('Projects Overview'!$B$2:$B$5021="Rocker Arm")*('Projects Overview'!$G$2:$G$5021="Forecast")*('Projects Overview'!AT$2:AT$5021))</f>
        <v>0</v>
      </c>
      <c r="AL68" s="104" cm="1">
        <f t="array" ref="AL68">SUMPRODUCT(('Projects Overview'!$B$2:$B$5021="Rocker Arm")*('Projects Overview'!$G$2:$G$5021="Forecast")*('Projects Overview'!AU$2:AU$5021))</f>
        <v>0</v>
      </c>
      <c r="AM68" s="104" cm="1">
        <f t="array" ref="AM68">SUMPRODUCT(('Projects Overview'!$B$2:$B$5021="Rocker Arm")*('Projects Overview'!$G$2:$G$5021="Forecast")*('Projects Overview'!AV$2:AV$5021))</f>
        <v>0</v>
      </c>
      <c r="AN68" s="9"/>
    </row>
    <row r="69" spans="1:40" ht="16" customHeight="1" x14ac:dyDescent="0.35">
      <c r="A69" s="222"/>
      <c r="B69" s="224" t="s">
        <v>143</v>
      </c>
      <c r="C69" s="1" t="s">
        <v>4</v>
      </c>
      <c r="D69" s="104">
        <v>0</v>
      </c>
      <c r="E69" s="104">
        <v>234.66666666666666</v>
      </c>
      <c r="F69" s="104">
        <v>234.66666666666666</v>
      </c>
      <c r="G69" s="104">
        <v>234.66666666666666</v>
      </c>
      <c r="H69" s="104">
        <v>0</v>
      </c>
      <c r="I69" s="104" cm="1">
        <f t="array" ref="I69">SUMPRODUCT(('Projects Overview'!$B$2:$B$5021="Crown Block (Sheave Cluster)")*('Projects Overview'!$G$2:$G$5021="Firm")*('Projects Overview'!R$2:R$5021))</f>
        <v>234.66666666666666</v>
      </c>
      <c r="J69" s="104" cm="1">
        <f t="array" ref="J69">SUMPRODUCT(('Projects Overview'!$B$2:$B$5021="Crown Block (Sheave Cluster)")*('Projects Overview'!$G$2:$G$5021="Firm")*('Projects Overview'!S$2:S$5021))</f>
        <v>234.66666666666666</v>
      </c>
      <c r="K69" s="104" cm="1">
        <f t="array" ref="K69">SUMPRODUCT(('Projects Overview'!$B$2:$B$5021="Crown Block (Sheave Cluster)")*('Projects Overview'!$G$2:$G$5021="Firm")*('Projects Overview'!T$2:T$5021))</f>
        <v>100</v>
      </c>
      <c r="L69" s="104" cm="1">
        <f t="array" ref="L69">SUMPRODUCT(('Projects Overview'!$B$2:$B$5021="Crown Block (Sheave Cluster)")*('Projects Overview'!$G$2:$G$5021="Firm")*('Projects Overview'!U$2:U$5021))</f>
        <v>300</v>
      </c>
      <c r="M69" s="104" cm="1">
        <f t="array" ref="M69">SUMPRODUCT(('Projects Overview'!$B$2:$B$5021="Crown Block (Sheave Cluster)")*('Projects Overview'!$G$2:$G$5021="Firm")*('Projects Overview'!V$2:V$5021))</f>
        <v>0</v>
      </c>
      <c r="N69" s="104" cm="1">
        <f t="array" ref="N69">SUMPRODUCT(('Projects Overview'!$B$2:$B$5021="Crown Block (Sheave Cluster)")*('Projects Overview'!$G$2:$G$5021="Firm")*('Projects Overview'!W$2:W$5021))</f>
        <v>0</v>
      </c>
      <c r="O69" s="104" cm="1">
        <f t="array" ref="O69">SUMPRODUCT(('Projects Overview'!$B$2:$B$5021="Crown Block (Sheave Cluster)")*('Projects Overview'!$G$2:$G$5021="Firm")*('Projects Overview'!X$2:X$5021))</f>
        <v>0</v>
      </c>
      <c r="P69" s="104" cm="1">
        <f t="array" ref="P69">SUMPRODUCT(('Projects Overview'!$B$2:$B$5021="Crown Block (Sheave Cluster)")*('Projects Overview'!$G$2:$G$5021="Firm")*('Projects Overview'!Y$2:Y$5021))</f>
        <v>0</v>
      </c>
      <c r="Q69" s="104" cm="1">
        <f t="array" ref="Q69">SUMPRODUCT(('Projects Overview'!$B$2:$B$5021="Crown Block (Sheave Cluster)")*('Projects Overview'!$G$2:$G$5021="Firm")*('Projects Overview'!Z$2:Z$5021))</f>
        <v>0</v>
      </c>
      <c r="R69" s="104" cm="1">
        <f t="array" ref="R69">SUMPRODUCT(('Projects Overview'!$B$2:$B$5021="Crown Block (Sheave Cluster)")*('Projects Overview'!$G$2:$G$5021="Firm")*('Projects Overview'!AA$2:AA$5021))</f>
        <v>0</v>
      </c>
      <c r="S69" s="104" cm="1">
        <f t="array" ref="S69">SUMPRODUCT(('Projects Overview'!$B$2:$B$5021="Crown Block (Sheave Cluster)")*('Projects Overview'!$G$2:$G$5021="Firm")*('Projects Overview'!AB$2:AB$5021))</f>
        <v>0</v>
      </c>
      <c r="T69" s="104" cm="1">
        <f t="array" ref="T69">SUMPRODUCT(('Projects Overview'!$B$2:$B$5021="Crown Block (Sheave Cluster)")*('Projects Overview'!$G$2:$G$5021="Firm")*('Projects Overview'!AC$2:AC$5021))</f>
        <v>0</v>
      </c>
      <c r="U69" s="104" cm="1">
        <f t="array" ref="U69">SUMPRODUCT(('Projects Overview'!$B$2:$B$5021="Crown Block (Sheave Cluster)")*('Projects Overview'!$G$2:$G$5021="Firm")*('Projects Overview'!AD$2:AD$5021))</f>
        <v>0</v>
      </c>
      <c r="V69" s="104" cm="1">
        <f t="array" ref="V69">SUMPRODUCT(('Projects Overview'!$B$2:$B$5021="Crown Block (Sheave Cluster)")*('Projects Overview'!$G$2:$G$5021="Firm")*('Projects Overview'!AE$2:AE$5021))</f>
        <v>0</v>
      </c>
      <c r="W69" s="104" cm="1">
        <f t="array" ref="W69">SUMPRODUCT(('Projects Overview'!$B$2:$B$5021="Crown Block (Sheave Cluster)")*('Projects Overview'!$G$2:$G$5021="Firm")*('Projects Overview'!AF$2:AF$5021))</f>
        <v>0</v>
      </c>
      <c r="X69" s="104" cm="1">
        <f t="array" ref="X69">SUMPRODUCT(('Projects Overview'!$B$2:$B$5021="Crown Block (Sheave Cluster)")*('Projects Overview'!$G$2:$G$5021="Firm")*('Projects Overview'!AG$2:AG$5021))</f>
        <v>0</v>
      </c>
      <c r="Y69" s="104" cm="1">
        <f t="array" ref="Y69">SUMPRODUCT(('Projects Overview'!$B$2:$B$5021="Crown Block (Sheave Cluster)")*('Projects Overview'!$G$2:$G$5021="Firm")*('Projects Overview'!AH$2:AH$5021))</f>
        <v>0</v>
      </c>
      <c r="Z69" s="104" cm="1">
        <f t="array" ref="Z69">SUMPRODUCT(('Projects Overview'!$B$2:$B$5021="Crown Block (Sheave Cluster)")*('Projects Overview'!$G$2:$G$5021="Firm")*('Projects Overview'!AI$2:AI$5021))</f>
        <v>0</v>
      </c>
      <c r="AA69" s="104" cm="1">
        <f t="array" ref="AA69">SUMPRODUCT(('Projects Overview'!$B$2:$B$5021="Crown Block (Sheave Cluster)")*('Projects Overview'!$G$2:$G$5021="Firm")*('Projects Overview'!AJ$2:AJ$5021))</f>
        <v>0</v>
      </c>
      <c r="AB69" s="104" cm="1">
        <f t="array" ref="AB69">SUMPRODUCT(('Projects Overview'!$B$2:$B$5021="Crown Block (Sheave Cluster)")*('Projects Overview'!$G$2:$G$5021="Firm")*('Projects Overview'!AK$2:AK$5021))</f>
        <v>0</v>
      </c>
      <c r="AC69" s="104" cm="1">
        <f t="array" ref="AC69">SUMPRODUCT(('Projects Overview'!$B$2:$B$5021="Crown Block (Sheave Cluster)")*('Projects Overview'!$G$2:$G$5021="Firm")*('Projects Overview'!AL$2:AL$5021))</f>
        <v>0</v>
      </c>
      <c r="AD69" s="104" cm="1">
        <f t="array" ref="AD69">SUMPRODUCT(('Projects Overview'!$B$2:$B$5021="Crown Block (Sheave Cluster)")*('Projects Overview'!$G$2:$G$5021="Firm")*('Projects Overview'!AM$2:AM$5021))</f>
        <v>0</v>
      </c>
      <c r="AE69" s="104" cm="1">
        <f t="array" ref="AE69">SUMPRODUCT(('Projects Overview'!$B$2:$B$5021="Crown Block (Sheave Cluster)")*('Projects Overview'!$G$2:$G$5021="Firm")*('Projects Overview'!AN$2:AN$5021))</f>
        <v>0</v>
      </c>
      <c r="AF69" s="104" cm="1">
        <f t="array" ref="AF69">SUMPRODUCT(('Projects Overview'!$B$2:$B$5021="Crown Block (Sheave Cluster)")*('Projects Overview'!$G$2:$G$5021="Firm")*('Projects Overview'!AO$2:AO$5021))</f>
        <v>0</v>
      </c>
      <c r="AG69" s="104" cm="1">
        <f t="array" ref="AG69">SUMPRODUCT(('Projects Overview'!$B$2:$B$5021="Crown Block (Sheave Cluster)")*('Projects Overview'!$G$2:$G$5021="Firm")*('Projects Overview'!AP$2:AP$5021))</f>
        <v>0</v>
      </c>
      <c r="AH69" s="104" cm="1">
        <f t="array" ref="AH69">SUMPRODUCT(('Projects Overview'!$B$2:$B$5021="Crown Block (Sheave Cluster)")*('Projects Overview'!$G$2:$G$5021="Firm")*('Projects Overview'!AQ$2:AQ$5021))</f>
        <v>0</v>
      </c>
      <c r="AI69" s="104" cm="1">
        <f t="array" ref="AI69">SUMPRODUCT(('Projects Overview'!$B$2:$B$5021="Crown Block (Sheave Cluster)")*('Projects Overview'!$G$2:$G$5021="Firm")*('Projects Overview'!AR$2:AR$5021))</f>
        <v>0</v>
      </c>
      <c r="AJ69" s="104" cm="1">
        <f t="array" ref="AJ69">SUMPRODUCT(('Projects Overview'!$B$2:$B$5021="Crown Block (Sheave Cluster)")*('Projects Overview'!$G$2:$G$5021="Firm")*('Projects Overview'!AS$2:AS$5021))</f>
        <v>0</v>
      </c>
      <c r="AK69" s="104" cm="1">
        <f t="array" ref="AK69">SUMPRODUCT(('Projects Overview'!$B$2:$B$5021="Crown Block (Sheave Cluster)")*('Projects Overview'!$G$2:$G$5021="Firm")*('Projects Overview'!AT$2:AT$5021))</f>
        <v>0</v>
      </c>
      <c r="AL69" s="104" cm="1">
        <f t="array" ref="AL69">SUMPRODUCT(('Projects Overview'!$B$2:$B$5021="Crown Block (Sheave Cluster)")*('Projects Overview'!$G$2:$G$5021="Firm")*('Projects Overview'!AU$2:AU$5021))</f>
        <v>0</v>
      </c>
      <c r="AM69" s="104" cm="1">
        <f t="array" ref="AM69">SUMPRODUCT(('Projects Overview'!$B$2:$B$5021="Crown Block (Sheave Cluster)")*('Projects Overview'!$G$2:$G$5021="Firm")*('Projects Overview'!AV$2:AV$5021))</f>
        <v>0</v>
      </c>
      <c r="AN69" s="9"/>
    </row>
    <row r="70" spans="1:40" ht="16" customHeight="1" x14ac:dyDescent="0.35">
      <c r="A70" s="222"/>
      <c r="B70" s="225"/>
      <c r="C70" s="2" t="s">
        <v>6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 cm="1">
        <f t="array" ref="I70">SUMPRODUCT(('Projects Overview'!$B$2:$B$5021="Crown Block (Sheave Cluster)")*('Projects Overview'!$G$2:$G$5021="Risk Release")*('Projects Overview'!R$2:R$5021))</f>
        <v>0</v>
      </c>
      <c r="J70" s="104" cm="1">
        <f t="array" ref="J70">SUMPRODUCT(('Projects Overview'!$B$2:$B$5021="Crown Block (Sheave Cluster)")*('Projects Overview'!$G$2:$G$5021="Risk Release")*('Projects Overview'!S$2:S$5021))</f>
        <v>0</v>
      </c>
      <c r="K70" s="104" cm="1">
        <f t="array" ref="K70">SUMPRODUCT(('Projects Overview'!$B$2:$B$5021="Crown Block (Sheave Cluster)")*('Projects Overview'!$G$2:$G$5021="Risk Release")*('Projects Overview'!T$2:T$5021))</f>
        <v>0</v>
      </c>
      <c r="L70" s="104" cm="1">
        <f t="array" ref="L70">SUMPRODUCT(('Projects Overview'!$B$2:$B$5021="Crown Block (Sheave Cluster)")*('Projects Overview'!$G$2:$G$5021="Risk Release")*('Projects Overview'!U$2:U$5021))</f>
        <v>0</v>
      </c>
      <c r="M70" s="104" cm="1">
        <f t="array" ref="M70">SUMPRODUCT(('Projects Overview'!$B$2:$B$5021="Crown Block (Sheave Cluster)")*('Projects Overview'!$G$2:$G$5021="Risk Release")*('Projects Overview'!V$2:V$5021))</f>
        <v>0</v>
      </c>
      <c r="N70" s="104" cm="1">
        <f t="array" ref="N70">SUMPRODUCT(('Projects Overview'!$B$2:$B$5021="Crown Block (Sheave Cluster)")*('Projects Overview'!$G$2:$G$5021="Risk Release")*('Projects Overview'!W$2:W$5021))</f>
        <v>0</v>
      </c>
      <c r="O70" s="104" cm="1">
        <f t="array" ref="O70">SUMPRODUCT(('Projects Overview'!$B$2:$B$5021="Crown Block (Sheave Cluster)")*('Projects Overview'!$G$2:$G$5021="Risk Release")*('Projects Overview'!X$2:X$5021))</f>
        <v>0</v>
      </c>
      <c r="P70" s="104" cm="1">
        <f t="array" ref="P70">SUMPRODUCT(('Projects Overview'!$B$2:$B$5021="Crown Block (Sheave Cluster)")*('Projects Overview'!$G$2:$G$5021="Risk Release")*('Projects Overview'!Y$2:Y$5021))</f>
        <v>0</v>
      </c>
      <c r="Q70" s="104" cm="1">
        <f t="array" ref="Q70">SUMPRODUCT(('Projects Overview'!$B$2:$B$5021="Crown Block (Sheave Cluster)")*('Projects Overview'!$G$2:$G$5021="Risk Release")*('Projects Overview'!Z$2:Z$5021))</f>
        <v>0</v>
      </c>
      <c r="R70" s="104" cm="1">
        <f t="array" ref="R70">SUMPRODUCT(('Projects Overview'!$B$2:$B$5021="Crown Block (Sheave Cluster)")*('Projects Overview'!$G$2:$G$5021="Risk Release")*('Projects Overview'!AA$2:AA$5021))</f>
        <v>0</v>
      </c>
      <c r="S70" s="104" cm="1">
        <f t="array" ref="S70">SUMPRODUCT(('Projects Overview'!$B$2:$B$5021="Crown Block (Sheave Cluster)")*('Projects Overview'!$G$2:$G$5021="Risk Release")*('Projects Overview'!AB$2:AB$5021))</f>
        <v>0</v>
      </c>
      <c r="T70" s="104" cm="1">
        <f t="array" ref="T70">SUMPRODUCT(('Projects Overview'!$B$2:$B$5021="Crown Block (Sheave Cluster)")*('Projects Overview'!$G$2:$G$5021="Risk Release")*('Projects Overview'!AC$2:AC$5021))</f>
        <v>0</v>
      </c>
      <c r="U70" s="104" cm="1">
        <f t="array" ref="U70">SUMPRODUCT(('Projects Overview'!$B$2:$B$5021="Crown Block (Sheave Cluster)")*('Projects Overview'!$G$2:$G$5021="Risk Release")*('Projects Overview'!AD$2:AD$5021))</f>
        <v>0</v>
      </c>
      <c r="V70" s="104" cm="1">
        <f t="array" ref="V70">SUMPRODUCT(('Projects Overview'!$B$2:$B$5021="Crown Block (Sheave Cluster)")*('Projects Overview'!$G$2:$G$5021="Risk Release")*('Projects Overview'!AE$2:AE$5021))</f>
        <v>0</v>
      </c>
      <c r="W70" s="104" cm="1">
        <f t="array" ref="W70">SUMPRODUCT(('Projects Overview'!$B$2:$B$5021="Crown Block (Sheave Cluster)")*('Projects Overview'!$G$2:$G$5021="Risk Release")*('Projects Overview'!AF$2:AF$5021))</f>
        <v>0</v>
      </c>
      <c r="X70" s="104" cm="1">
        <f t="array" ref="X70">SUMPRODUCT(('Projects Overview'!$B$2:$B$5021="Crown Block (Sheave Cluster)")*('Projects Overview'!$G$2:$G$5021="Risk Release")*('Projects Overview'!AG$2:AG$5021))</f>
        <v>0</v>
      </c>
      <c r="Y70" s="104" cm="1">
        <f t="array" ref="Y70">SUMPRODUCT(('Projects Overview'!$B$2:$B$5021="Crown Block (Sheave Cluster)")*('Projects Overview'!$G$2:$G$5021="Risk Release")*('Projects Overview'!AH$2:AH$5021))</f>
        <v>0</v>
      </c>
      <c r="Z70" s="104" cm="1">
        <f t="array" ref="Z70">SUMPRODUCT(('Projects Overview'!$B$2:$B$5021="Crown Block (Sheave Cluster)")*('Projects Overview'!$G$2:$G$5021="Risk Release")*('Projects Overview'!AI$2:AI$5021))</f>
        <v>0</v>
      </c>
      <c r="AA70" s="104" cm="1">
        <f t="array" ref="AA70">SUMPRODUCT(('Projects Overview'!$B$2:$B$5021="Crown Block (Sheave Cluster)")*('Projects Overview'!$G$2:$G$5021="Risk Release")*('Projects Overview'!AJ$2:AJ$5021))</f>
        <v>0</v>
      </c>
      <c r="AB70" s="104" cm="1">
        <f t="array" ref="AB70">SUMPRODUCT(('Projects Overview'!$B$2:$B$5021="Crown Block (Sheave Cluster)")*('Projects Overview'!$G$2:$G$5021="Risk Release")*('Projects Overview'!AK$2:AK$5021))</f>
        <v>0</v>
      </c>
      <c r="AC70" s="104" cm="1">
        <f t="array" ref="AC70">SUMPRODUCT(('Projects Overview'!$B$2:$B$5021="Crown Block (Sheave Cluster)")*('Projects Overview'!$G$2:$G$5021="Risk Release")*('Projects Overview'!AL$2:AL$5021))</f>
        <v>0</v>
      </c>
      <c r="AD70" s="104" cm="1">
        <f t="array" ref="AD70">SUMPRODUCT(('Projects Overview'!$B$2:$B$5021="Crown Block (Sheave Cluster)")*('Projects Overview'!$G$2:$G$5021="Risk Release")*('Projects Overview'!AM$2:AM$5021))</f>
        <v>0</v>
      </c>
      <c r="AE70" s="104" cm="1">
        <f t="array" ref="AE70">SUMPRODUCT(('Projects Overview'!$B$2:$B$5021="Crown Block (Sheave Cluster)")*('Projects Overview'!$G$2:$G$5021="Risk Release")*('Projects Overview'!AN$2:AN$5021))</f>
        <v>0</v>
      </c>
      <c r="AF70" s="104" cm="1">
        <f t="array" ref="AF70">SUMPRODUCT(('Projects Overview'!$B$2:$B$5021="Crown Block (Sheave Cluster)")*('Projects Overview'!$G$2:$G$5021="Risk Release")*('Projects Overview'!AO$2:AO$5021))</f>
        <v>0</v>
      </c>
      <c r="AG70" s="104" cm="1">
        <f t="array" ref="AG70">SUMPRODUCT(('Projects Overview'!$B$2:$B$5021="Crown Block (Sheave Cluster)")*('Projects Overview'!$G$2:$G$5021="Risk Release")*('Projects Overview'!AP$2:AP$5021))</f>
        <v>0</v>
      </c>
      <c r="AH70" s="104" cm="1">
        <f t="array" ref="AH70">SUMPRODUCT(('Projects Overview'!$B$2:$B$5021="Crown Block (Sheave Cluster)")*('Projects Overview'!$G$2:$G$5021="Risk Release")*('Projects Overview'!AQ$2:AQ$5021))</f>
        <v>0</v>
      </c>
      <c r="AI70" s="104" cm="1">
        <f t="array" ref="AI70">SUMPRODUCT(('Projects Overview'!$B$2:$B$5021="Crown Block (Sheave Cluster)")*('Projects Overview'!$G$2:$G$5021="Risk Release")*('Projects Overview'!AR$2:AR$5021))</f>
        <v>0</v>
      </c>
      <c r="AJ70" s="104" cm="1">
        <f t="array" ref="AJ70">SUMPRODUCT(('Projects Overview'!$B$2:$B$5021="Crown Block (Sheave Cluster)")*('Projects Overview'!$G$2:$G$5021="Risk Release")*('Projects Overview'!AS$2:AS$5021))</f>
        <v>0</v>
      </c>
      <c r="AK70" s="104" cm="1">
        <f t="array" ref="AK70">SUMPRODUCT(('Projects Overview'!$B$2:$B$5021="Crown Block (Sheave Cluster)")*('Projects Overview'!$G$2:$G$5021="Risk Release")*('Projects Overview'!AT$2:AT$5021))</f>
        <v>0</v>
      </c>
      <c r="AL70" s="104" cm="1">
        <f t="array" ref="AL70">SUMPRODUCT(('Projects Overview'!$B$2:$B$5021="Crown Block (Sheave Cluster)")*('Projects Overview'!$G$2:$G$5021="Risk Release")*('Projects Overview'!AU$2:AU$5021))</f>
        <v>0</v>
      </c>
      <c r="AM70" s="104" cm="1">
        <f t="array" ref="AM70">SUMPRODUCT(('Projects Overview'!$B$2:$B$5021="Crown Block (Sheave Cluster)")*('Projects Overview'!$G$2:$G$5021="Risk Release")*('Projects Overview'!AV$2:AV$5021))</f>
        <v>0</v>
      </c>
      <c r="AN70" s="9"/>
    </row>
    <row r="71" spans="1:40" ht="16" customHeight="1" x14ac:dyDescent="0.35">
      <c r="A71" s="222"/>
      <c r="B71" s="226"/>
      <c r="C71" s="3" t="s">
        <v>8</v>
      </c>
      <c r="D71" s="104">
        <v>0</v>
      </c>
      <c r="E71" s="104">
        <v>0</v>
      </c>
      <c r="F71" s="104">
        <v>0</v>
      </c>
      <c r="G71" s="104">
        <v>0</v>
      </c>
      <c r="H71" s="104">
        <v>0</v>
      </c>
      <c r="I71" s="104" cm="1">
        <f t="array" ref="I71">SUMPRODUCT(('Projects Overview'!$B$2:$B$5021="Crown Block (Sheave Cluster)")*('Projects Overview'!$G$2:$G$5021="Forecast")*('Projects Overview'!R$2:R$5021))</f>
        <v>0</v>
      </c>
      <c r="J71" s="104" cm="1">
        <f t="array" ref="J71">SUMPRODUCT(('Projects Overview'!$B$2:$B$5021="Crown Block (Sheave Cluster)")*('Projects Overview'!$G$2:$G$5021="Forecast")*('Projects Overview'!S$2:S$5021))</f>
        <v>0</v>
      </c>
      <c r="K71" s="104" cm="1">
        <f t="array" ref="K71">SUMPRODUCT(('Projects Overview'!$B$2:$B$5021="Crown Block (Sheave Cluster)")*('Projects Overview'!$G$2:$G$5021="Forecast")*('Projects Overview'!T$2:T$5021))</f>
        <v>0</v>
      </c>
      <c r="L71" s="104" cm="1">
        <f t="array" ref="L71">SUMPRODUCT(('Projects Overview'!$B$2:$B$5021="Crown Block (Sheave Cluster)")*('Projects Overview'!$G$2:$G$5021="Forecast")*('Projects Overview'!U$2:U$5021))</f>
        <v>0</v>
      </c>
      <c r="M71" s="104" cm="1">
        <f t="array" ref="M71">SUMPRODUCT(('Projects Overview'!$B$2:$B$5021="Crown Block (Sheave Cluster)")*('Projects Overview'!$G$2:$G$5021="Forecast")*('Projects Overview'!V$2:V$5021))</f>
        <v>0</v>
      </c>
      <c r="N71" s="104" cm="1">
        <f t="array" ref="N71">SUMPRODUCT(('Projects Overview'!$B$2:$B$5021="Crown Block (Sheave Cluster)")*('Projects Overview'!$G$2:$G$5021="Forecast")*('Projects Overview'!W$2:W$5021))</f>
        <v>0</v>
      </c>
      <c r="O71" s="104" cm="1">
        <f t="array" ref="O71">SUMPRODUCT(('Projects Overview'!$B$2:$B$5021="Crown Block (Sheave Cluster)")*('Projects Overview'!$G$2:$G$5021="Forecast")*('Projects Overview'!X$2:X$5021))</f>
        <v>0</v>
      </c>
      <c r="P71" s="104" cm="1">
        <f t="array" ref="P71">SUMPRODUCT(('Projects Overview'!$B$2:$B$5021="Crown Block (Sheave Cluster)")*('Projects Overview'!$G$2:$G$5021="Forecast")*('Projects Overview'!Y$2:Y$5021))</f>
        <v>0</v>
      </c>
      <c r="Q71" s="104" cm="1">
        <f t="array" ref="Q71">SUMPRODUCT(('Projects Overview'!$B$2:$B$5021="Crown Block (Sheave Cluster)")*('Projects Overview'!$G$2:$G$5021="Forecast")*('Projects Overview'!Z$2:Z$5021))</f>
        <v>0</v>
      </c>
      <c r="R71" s="104" cm="1">
        <f t="array" ref="R71">SUMPRODUCT(('Projects Overview'!$B$2:$B$5021="Crown Block (Sheave Cluster)")*('Projects Overview'!$G$2:$G$5021="Forecast")*('Projects Overview'!AA$2:AA$5021))</f>
        <v>0</v>
      </c>
      <c r="S71" s="104" cm="1">
        <f t="array" ref="S71">SUMPRODUCT(('Projects Overview'!$B$2:$B$5021="Crown Block (Sheave Cluster)")*('Projects Overview'!$G$2:$G$5021="Forecast")*('Projects Overview'!AB$2:AB$5021))</f>
        <v>0</v>
      </c>
      <c r="T71" s="104" cm="1">
        <f t="array" ref="T71">SUMPRODUCT(('Projects Overview'!$B$2:$B$5021="Crown Block (Sheave Cluster)")*('Projects Overview'!$G$2:$G$5021="Forecast")*('Projects Overview'!AC$2:AC$5021))</f>
        <v>234.66666666666666</v>
      </c>
      <c r="U71" s="104" cm="1">
        <f t="array" ref="U71">SUMPRODUCT(('Projects Overview'!$B$2:$B$5021="Crown Block (Sheave Cluster)")*('Projects Overview'!$G$2:$G$5021="Forecast")*('Projects Overview'!AD$2:AD$5021))</f>
        <v>234.66666666666666</v>
      </c>
      <c r="V71" s="104" cm="1">
        <f t="array" ref="V71">SUMPRODUCT(('Projects Overview'!$B$2:$B$5021="Crown Block (Sheave Cluster)")*('Projects Overview'!$G$2:$G$5021="Forecast")*('Projects Overview'!AE$2:AE$5021))</f>
        <v>234.66666666666666</v>
      </c>
      <c r="W71" s="104" cm="1">
        <f t="array" ref="W71">SUMPRODUCT(('Projects Overview'!$B$2:$B$5021="Crown Block (Sheave Cluster)")*('Projects Overview'!$G$2:$G$5021="Forecast")*('Projects Overview'!AF$2:AF$5021))</f>
        <v>0</v>
      </c>
      <c r="X71" s="104" cm="1">
        <f t="array" ref="X71">SUMPRODUCT(('Projects Overview'!$B$2:$B$5021="Crown Block (Sheave Cluster)")*('Projects Overview'!$G$2:$G$5021="Forecast")*('Projects Overview'!AG$2:AG$5021))</f>
        <v>0</v>
      </c>
      <c r="Y71" s="104" cm="1">
        <f t="array" ref="Y71">SUMPRODUCT(('Projects Overview'!$B$2:$B$5021="Crown Block (Sheave Cluster)")*('Projects Overview'!$G$2:$G$5021="Forecast")*('Projects Overview'!AH$2:AH$5021))</f>
        <v>0</v>
      </c>
      <c r="Z71" s="104" cm="1">
        <f t="array" ref="Z71">SUMPRODUCT(('Projects Overview'!$B$2:$B$5021="Crown Block (Sheave Cluster)")*('Projects Overview'!$G$2:$G$5021="Forecast")*('Projects Overview'!AI$2:AI$5021))</f>
        <v>0</v>
      </c>
      <c r="AA71" s="104" cm="1">
        <f t="array" ref="AA71">SUMPRODUCT(('Projects Overview'!$B$2:$B$5021="Crown Block (Sheave Cluster)")*('Projects Overview'!$G$2:$G$5021="Forecast")*('Projects Overview'!AJ$2:AJ$5021))</f>
        <v>0</v>
      </c>
      <c r="AB71" s="104" cm="1">
        <f t="array" ref="AB71">SUMPRODUCT(('Projects Overview'!$B$2:$B$5021="Crown Block (Sheave Cluster)")*('Projects Overview'!$G$2:$G$5021="Forecast")*('Projects Overview'!AK$2:AK$5021))</f>
        <v>0</v>
      </c>
      <c r="AC71" s="104" cm="1">
        <f t="array" ref="AC71">SUMPRODUCT(('Projects Overview'!$B$2:$B$5021="Crown Block (Sheave Cluster)")*('Projects Overview'!$G$2:$G$5021="Forecast")*('Projects Overview'!AL$2:AL$5021))</f>
        <v>0</v>
      </c>
      <c r="AD71" s="104" cm="1">
        <f t="array" ref="AD71">SUMPRODUCT(('Projects Overview'!$B$2:$B$5021="Crown Block (Sheave Cluster)")*('Projects Overview'!$G$2:$G$5021="Forecast")*('Projects Overview'!AM$2:AM$5021))</f>
        <v>0</v>
      </c>
      <c r="AE71" s="104" cm="1">
        <f t="array" ref="AE71">SUMPRODUCT(('Projects Overview'!$B$2:$B$5021="Crown Block (Sheave Cluster)")*('Projects Overview'!$G$2:$G$5021="Forecast")*('Projects Overview'!AN$2:AN$5021))</f>
        <v>0</v>
      </c>
      <c r="AF71" s="104" cm="1">
        <f t="array" ref="AF71">SUMPRODUCT(('Projects Overview'!$B$2:$B$5021="Crown Block (Sheave Cluster)")*('Projects Overview'!$G$2:$G$5021="Forecast")*('Projects Overview'!AO$2:AO$5021))</f>
        <v>0</v>
      </c>
      <c r="AG71" s="104" cm="1">
        <f t="array" ref="AG71">SUMPRODUCT(('Projects Overview'!$B$2:$B$5021="Crown Block (Sheave Cluster)")*('Projects Overview'!$G$2:$G$5021="Forecast")*('Projects Overview'!AP$2:AP$5021))</f>
        <v>0</v>
      </c>
      <c r="AH71" s="104" cm="1">
        <f t="array" ref="AH71">SUMPRODUCT(('Projects Overview'!$B$2:$B$5021="Crown Block (Sheave Cluster)")*('Projects Overview'!$G$2:$G$5021="Forecast")*('Projects Overview'!AQ$2:AQ$5021))</f>
        <v>0</v>
      </c>
      <c r="AI71" s="104" cm="1">
        <f t="array" ref="AI71">SUMPRODUCT(('Projects Overview'!$B$2:$B$5021="Crown Block (Sheave Cluster)")*('Projects Overview'!$G$2:$G$5021="Forecast")*('Projects Overview'!AR$2:AR$5021))</f>
        <v>0</v>
      </c>
      <c r="AJ71" s="104" cm="1">
        <f t="array" ref="AJ71">SUMPRODUCT(('Projects Overview'!$B$2:$B$5021="Crown Block (Sheave Cluster)")*('Projects Overview'!$G$2:$G$5021="Forecast")*('Projects Overview'!AS$2:AS$5021))</f>
        <v>0</v>
      </c>
      <c r="AK71" s="104" cm="1">
        <f t="array" ref="AK71">SUMPRODUCT(('Projects Overview'!$B$2:$B$5021="Crown Block (Sheave Cluster)")*('Projects Overview'!$G$2:$G$5021="Forecast")*('Projects Overview'!AT$2:AT$5021))</f>
        <v>0</v>
      </c>
      <c r="AL71" s="104" cm="1">
        <f t="array" ref="AL71">SUMPRODUCT(('Projects Overview'!$B$2:$B$5021="Crown Block (Sheave Cluster)")*('Projects Overview'!$G$2:$G$5021="Forecast")*('Projects Overview'!AU$2:AU$5021))</f>
        <v>0</v>
      </c>
      <c r="AM71" s="104" cm="1">
        <f t="array" ref="AM71">SUMPRODUCT(('Projects Overview'!$B$2:$B$5021="Crown Block (Sheave Cluster)")*('Projects Overview'!$G$2:$G$5021="Forecast")*('Projects Overview'!AV$2:AV$5021))</f>
        <v>0</v>
      </c>
      <c r="AN71" s="9"/>
    </row>
    <row r="72" spans="1:40" ht="14.5" customHeight="1" x14ac:dyDescent="0.35">
      <c r="A72" s="222"/>
      <c r="B72" s="224" t="s">
        <v>145</v>
      </c>
      <c r="C72" s="1" t="s">
        <v>4</v>
      </c>
      <c r="D72" s="104">
        <v>0</v>
      </c>
      <c r="E72" s="104">
        <v>0</v>
      </c>
      <c r="F72" s="104">
        <v>132</v>
      </c>
      <c r="G72" s="104">
        <v>0</v>
      </c>
      <c r="H72" s="104">
        <v>0</v>
      </c>
      <c r="I72" s="104" cm="1">
        <f t="array" ref="I72">SUMPRODUCT(('Projects Overview'!$B$2:$B$5021="Drawworks Callipers (MB)")*('Projects Overview'!$G$2:$G$5021="Firm")*('Projects Overview'!R$2:R$5021))</f>
        <v>240</v>
      </c>
      <c r="J72" s="104" cm="1">
        <f t="array" ref="J72">SUMPRODUCT(('Projects Overview'!$B$2:$B$5021="Drawworks Callipers (MB)")*('Projects Overview'!$G$2:$G$5021="Firm")*('Projects Overview'!S$2:S$5021))</f>
        <v>160</v>
      </c>
      <c r="K72" s="104" cm="1">
        <f t="array" ref="K72">SUMPRODUCT(('Projects Overview'!$B$2:$B$5021="Drawworks Callipers (MB)")*('Projects Overview'!$G$2:$G$5021="Firm")*('Projects Overview'!T$2:T$5021))</f>
        <v>0</v>
      </c>
      <c r="L72" s="104" cm="1">
        <f t="array" ref="L72">SUMPRODUCT(('Projects Overview'!$B$2:$B$5021="Drawworks Callipers (MB)")*('Projects Overview'!$G$2:$G$5021="Firm")*('Projects Overview'!U$2:U$5021))</f>
        <v>80</v>
      </c>
      <c r="M72" s="104" cm="1">
        <f t="array" ref="M72">SUMPRODUCT(('Projects Overview'!$B$2:$B$5021="Drawworks Callipers (MB)")*('Projects Overview'!$G$2:$G$5021="Firm")*('Projects Overview'!V$2:V$5021))</f>
        <v>0</v>
      </c>
      <c r="N72" s="104" cm="1">
        <f t="array" ref="N72">SUMPRODUCT(('Projects Overview'!$B$2:$B$5021="Drawworks Callipers (MB)")*('Projects Overview'!$G$2:$G$5021="Firm")*('Projects Overview'!W$2:W$5021))</f>
        <v>0</v>
      </c>
      <c r="O72" s="104" cm="1">
        <f t="array" ref="O72">SUMPRODUCT(('Projects Overview'!$B$2:$B$5021="Drawworks Callipers (MB)")*('Projects Overview'!$G$2:$G$5021="Firm")*('Projects Overview'!X$2:X$5021))</f>
        <v>0</v>
      </c>
      <c r="P72" s="104" cm="1">
        <f t="array" ref="P72">SUMPRODUCT(('Projects Overview'!$B$2:$B$5021="Drawworks Callipers (MB)")*('Projects Overview'!$G$2:$G$5021="Firm")*('Projects Overview'!Y$2:Y$5021))</f>
        <v>0</v>
      </c>
      <c r="Q72" s="104" cm="1">
        <f t="array" ref="Q72">SUMPRODUCT(('Projects Overview'!$B$2:$B$5021="Drawworks Callipers (MB)")*('Projects Overview'!$G$2:$G$5021="Firm")*('Projects Overview'!Z$2:Z$5021))</f>
        <v>0</v>
      </c>
      <c r="R72" s="104" cm="1">
        <f t="array" ref="R72">SUMPRODUCT(('Projects Overview'!$B$2:$B$5021="Drawworks Callipers (MB)")*('Projects Overview'!$G$2:$G$5021="Firm")*('Projects Overview'!AA$2:AA$5021))</f>
        <v>0</v>
      </c>
      <c r="S72" s="104" cm="1">
        <f t="array" ref="S72">SUMPRODUCT(('Projects Overview'!$B$2:$B$5021="Drawworks Callipers (MB)")*('Projects Overview'!$G$2:$G$5021="Firm")*('Projects Overview'!AB$2:AB$5021))</f>
        <v>0</v>
      </c>
      <c r="T72" s="104" cm="1">
        <f t="array" ref="T72">SUMPRODUCT(('Projects Overview'!$B$2:$B$5021="Drawworks Callipers (MB)")*('Projects Overview'!$G$2:$G$5021="Firm")*('Projects Overview'!AC$2:AC$5021))</f>
        <v>0</v>
      </c>
      <c r="U72" s="104" cm="1">
        <f t="array" ref="U72">SUMPRODUCT(('Projects Overview'!$B$2:$B$5021="Drawworks Callipers (MB)")*('Projects Overview'!$G$2:$G$5021="Firm")*('Projects Overview'!AD$2:AD$5021))</f>
        <v>0</v>
      </c>
      <c r="V72" s="104" cm="1">
        <f t="array" ref="V72">SUMPRODUCT(('Projects Overview'!$B$2:$B$5021="Drawworks Callipers (MB)")*('Projects Overview'!$G$2:$G$5021="Firm")*('Projects Overview'!AE$2:AE$5021))</f>
        <v>0</v>
      </c>
      <c r="W72" s="104" cm="1">
        <f t="array" ref="W72">SUMPRODUCT(('Projects Overview'!$B$2:$B$5021="Drawworks Callipers (MB)")*('Projects Overview'!$G$2:$G$5021="Firm")*('Projects Overview'!AF$2:AF$5021))</f>
        <v>0</v>
      </c>
      <c r="X72" s="104" cm="1">
        <f t="array" ref="X72">SUMPRODUCT(('Projects Overview'!$B$2:$B$5021="Drawworks Callipers (MB)")*('Projects Overview'!$G$2:$G$5021="Firm")*('Projects Overview'!AG$2:AG$5021))</f>
        <v>0</v>
      </c>
      <c r="Y72" s="104" cm="1">
        <f t="array" ref="Y72">SUMPRODUCT(('Projects Overview'!$B$2:$B$5021="Drawworks Callipers (MB)")*('Projects Overview'!$G$2:$G$5021="Firm")*('Projects Overview'!AH$2:AH$5021))</f>
        <v>0</v>
      </c>
      <c r="Z72" s="104" cm="1">
        <f t="array" ref="Z72">SUMPRODUCT(('Projects Overview'!$B$2:$B$5021="Drawworks Callipers (MB)")*('Projects Overview'!$G$2:$G$5021="Firm")*('Projects Overview'!AI$2:AI$5021))</f>
        <v>0</v>
      </c>
      <c r="AA72" s="104" cm="1">
        <f t="array" ref="AA72">SUMPRODUCT(('Projects Overview'!$B$2:$B$5021="Drawworks Callipers (MB)")*('Projects Overview'!$G$2:$G$5021="Firm")*('Projects Overview'!AJ$2:AJ$5021))</f>
        <v>0</v>
      </c>
      <c r="AB72" s="104" cm="1">
        <f t="array" ref="AB72">SUMPRODUCT(('Projects Overview'!$B$2:$B$5021="Drawworks Callipers (MB)")*('Projects Overview'!$G$2:$G$5021="Firm")*('Projects Overview'!AK$2:AK$5021))</f>
        <v>0</v>
      </c>
      <c r="AC72" s="104" cm="1">
        <f t="array" ref="AC72">SUMPRODUCT(('Projects Overview'!$B$2:$B$5021="Drawworks Callipers (MB)")*('Projects Overview'!$G$2:$G$5021="Firm")*('Projects Overview'!AL$2:AL$5021))</f>
        <v>0</v>
      </c>
      <c r="AD72" s="104" cm="1">
        <f t="array" ref="AD72">SUMPRODUCT(('Projects Overview'!$B$2:$B$5021="Drawworks Callipers (MB)")*('Projects Overview'!$G$2:$G$5021="Firm")*('Projects Overview'!AM$2:AM$5021))</f>
        <v>0</v>
      </c>
      <c r="AE72" s="104" cm="1">
        <f t="array" ref="AE72">SUMPRODUCT(('Projects Overview'!$B$2:$B$5021="Drawworks Callipers (MB)")*('Projects Overview'!$G$2:$G$5021="Firm")*('Projects Overview'!AN$2:AN$5021))</f>
        <v>0</v>
      </c>
      <c r="AF72" s="104" cm="1">
        <f t="array" ref="AF72">SUMPRODUCT(('Projects Overview'!$B$2:$B$5021="Drawworks Callipers (MB)")*('Projects Overview'!$G$2:$G$5021="Firm")*('Projects Overview'!AO$2:AO$5021))</f>
        <v>0</v>
      </c>
      <c r="AG72" s="104" cm="1">
        <f t="array" ref="AG72">SUMPRODUCT(('Projects Overview'!$B$2:$B$5021="Drawworks Callipers (MB)")*('Projects Overview'!$G$2:$G$5021="Firm")*('Projects Overview'!AP$2:AP$5021))</f>
        <v>0</v>
      </c>
      <c r="AH72" s="104" cm="1">
        <f t="array" ref="AH72">SUMPRODUCT(('Projects Overview'!$B$2:$B$5021="Drawworks Callipers (MB)")*('Projects Overview'!$G$2:$G$5021="Firm")*('Projects Overview'!AQ$2:AQ$5021))</f>
        <v>0</v>
      </c>
      <c r="AI72" s="104" cm="1">
        <f t="array" ref="AI72">SUMPRODUCT(('Projects Overview'!$B$2:$B$5021="Drawworks Callipers (MB)")*('Projects Overview'!$G$2:$G$5021="Firm")*('Projects Overview'!AR$2:AR$5021))</f>
        <v>0</v>
      </c>
      <c r="AJ72" s="104" cm="1">
        <f t="array" ref="AJ72">SUMPRODUCT(('Projects Overview'!$B$2:$B$5021="Drawworks Callipers (MB)")*('Projects Overview'!$G$2:$G$5021="Firm")*('Projects Overview'!AS$2:AS$5021))</f>
        <v>0</v>
      </c>
      <c r="AK72" s="104" cm="1">
        <f t="array" ref="AK72">SUMPRODUCT(('Projects Overview'!$B$2:$B$5021="Drawworks Callipers (MB)")*('Projects Overview'!$G$2:$G$5021="Firm")*('Projects Overview'!AT$2:AT$5021))</f>
        <v>0</v>
      </c>
      <c r="AL72" s="104" cm="1">
        <f t="array" ref="AL72">SUMPRODUCT(('Projects Overview'!$B$2:$B$5021="Drawworks Callipers (MB)")*('Projects Overview'!$G$2:$G$5021="Firm")*('Projects Overview'!AU$2:AU$5021))</f>
        <v>0</v>
      </c>
      <c r="AM72" s="104" cm="1">
        <f t="array" ref="AM72">SUMPRODUCT(('Projects Overview'!$B$2:$B$5021="Drawworks Callipers (MB)")*('Projects Overview'!$G$2:$G$5021="Firm")*('Projects Overview'!AV$2:AV$5021))</f>
        <v>0</v>
      </c>
      <c r="AN72" s="9"/>
    </row>
    <row r="73" spans="1:40" ht="14.5" customHeight="1" x14ac:dyDescent="0.35">
      <c r="A73" s="222"/>
      <c r="B73" s="225"/>
      <c r="C73" s="2" t="s">
        <v>6</v>
      </c>
      <c r="D73" s="104">
        <v>0</v>
      </c>
      <c r="E73" s="104">
        <v>0</v>
      </c>
      <c r="F73" s="104">
        <v>0</v>
      </c>
      <c r="G73" s="104">
        <v>0</v>
      </c>
      <c r="H73" s="104">
        <v>0</v>
      </c>
      <c r="I73" s="104" cm="1">
        <f t="array" ref="I73">SUMPRODUCT(('Projects Overview'!$B$2:$B$5021="Drawworks Callipers (MB)")*('Projects Overview'!$G$2:$G$5021="Risk Release")*('Projects Overview'!R$2:R$5021))</f>
        <v>0</v>
      </c>
      <c r="J73" s="104" cm="1">
        <f t="array" ref="J73">SUMPRODUCT(('Projects Overview'!$B$2:$B$5021="Drawworks Callipers (MB)")*('Projects Overview'!$G$2:$G$5021="Risk Release")*('Projects Overview'!S$2:S$5021))</f>
        <v>0</v>
      </c>
      <c r="K73" s="104" cm="1">
        <f t="array" ref="K73">SUMPRODUCT(('Projects Overview'!$B$2:$B$5021="Drawworks Callipers (MB)")*('Projects Overview'!$G$2:$G$5021="Risk Release")*('Projects Overview'!T$2:T$5021))</f>
        <v>0</v>
      </c>
      <c r="L73" s="104" cm="1">
        <f t="array" ref="L73">SUMPRODUCT(('Projects Overview'!$B$2:$B$5021="Drawworks Callipers (MB)")*('Projects Overview'!$G$2:$G$5021="Risk Release")*('Projects Overview'!U$2:U$5021))</f>
        <v>0</v>
      </c>
      <c r="M73" s="104" cm="1">
        <f t="array" ref="M73">SUMPRODUCT(('Projects Overview'!$B$2:$B$5021="Drawworks Callipers (MB)")*('Projects Overview'!$G$2:$G$5021="Risk Release")*('Projects Overview'!V$2:V$5021))</f>
        <v>0</v>
      </c>
      <c r="N73" s="104" cm="1">
        <f t="array" ref="N73">SUMPRODUCT(('Projects Overview'!$B$2:$B$5021="Drawworks Callipers (MB)")*('Projects Overview'!$G$2:$G$5021="Risk Release")*('Projects Overview'!W$2:W$5021))</f>
        <v>0</v>
      </c>
      <c r="O73" s="104" cm="1">
        <f t="array" ref="O73">SUMPRODUCT(('Projects Overview'!$B$2:$B$5021="Drawworks Callipers (MB)")*('Projects Overview'!$G$2:$G$5021="Risk Release")*('Projects Overview'!X$2:X$5021))</f>
        <v>0</v>
      </c>
      <c r="P73" s="104" cm="1">
        <f t="array" ref="P73">SUMPRODUCT(('Projects Overview'!$B$2:$B$5021="Drawworks Callipers (MB)")*('Projects Overview'!$G$2:$G$5021="Risk Release")*('Projects Overview'!Y$2:Y$5021))</f>
        <v>0</v>
      </c>
      <c r="Q73" s="104" cm="1">
        <f t="array" ref="Q73">SUMPRODUCT(('Projects Overview'!$B$2:$B$5021="Drawworks Callipers (MB)")*('Projects Overview'!$G$2:$G$5021="Risk Release")*('Projects Overview'!Z$2:Z$5021))</f>
        <v>0</v>
      </c>
      <c r="R73" s="104" cm="1">
        <f t="array" ref="R73">SUMPRODUCT(('Projects Overview'!$B$2:$B$5021="Drawworks Callipers (MB)")*('Projects Overview'!$G$2:$G$5021="Risk Release")*('Projects Overview'!AA$2:AA$5021))</f>
        <v>0</v>
      </c>
      <c r="S73" s="104" cm="1">
        <f t="array" ref="S73">SUMPRODUCT(('Projects Overview'!$B$2:$B$5021="Drawworks Callipers (MB)")*('Projects Overview'!$G$2:$G$5021="Risk Release")*('Projects Overview'!AB$2:AB$5021))</f>
        <v>0</v>
      </c>
      <c r="T73" s="104" cm="1">
        <f t="array" ref="T73">SUMPRODUCT(('Projects Overview'!$B$2:$B$5021="Drawworks Callipers (MB)")*('Projects Overview'!$G$2:$G$5021="Risk Release")*('Projects Overview'!AC$2:AC$5021))</f>
        <v>0</v>
      </c>
      <c r="U73" s="104" cm="1">
        <f t="array" ref="U73">SUMPRODUCT(('Projects Overview'!$B$2:$B$5021="Drawworks Callipers (MB)")*('Projects Overview'!$G$2:$G$5021="Risk Release")*('Projects Overview'!AD$2:AD$5021))</f>
        <v>0</v>
      </c>
      <c r="V73" s="104" cm="1">
        <f t="array" ref="V73">SUMPRODUCT(('Projects Overview'!$B$2:$B$5021="Drawworks Callipers (MB)")*('Projects Overview'!$G$2:$G$5021="Risk Release")*('Projects Overview'!AE$2:AE$5021))</f>
        <v>0</v>
      </c>
      <c r="W73" s="104" cm="1">
        <f t="array" ref="W73">SUMPRODUCT(('Projects Overview'!$B$2:$B$5021="Drawworks Callipers (MB)")*('Projects Overview'!$G$2:$G$5021="Risk Release")*('Projects Overview'!AF$2:AF$5021))</f>
        <v>0</v>
      </c>
      <c r="X73" s="104" cm="1">
        <f t="array" ref="X73">SUMPRODUCT(('Projects Overview'!$B$2:$B$5021="Drawworks Callipers (MB)")*('Projects Overview'!$G$2:$G$5021="Risk Release")*('Projects Overview'!AG$2:AG$5021))</f>
        <v>0</v>
      </c>
      <c r="Y73" s="104" cm="1">
        <f t="array" ref="Y73">SUMPRODUCT(('Projects Overview'!$B$2:$B$5021="Drawworks Callipers (MB)")*('Projects Overview'!$G$2:$G$5021="Risk Release")*('Projects Overview'!AH$2:AH$5021))</f>
        <v>0</v>
      </c>
      <c r="Z73" s="104" cm="1">
        <f t="array" ref="Z73">SUMPRODUCT(('Projects Overview'!$B$2:$B$5021="Drawworks Callipers (MB)")*('Projects Overview'!$G$2:$G$5021="Risk Release")*('Projects Overview'!AI$2:AI$5021))</f>
        <v>0</v>
      </c>
      <c r="AA73" s="104" cm="1">
        <f t="array" ref="AA73">SUMPRODUCT(('Projects Overview'!$B$2:$B$5021="Drawworks Callipers (MB)")*('Projects Overview'!$G$2:$G$5021="Risk Release")*('Projects Overview'!AJ$2:AJ$5021))</f>
        <v>0</v>
      </c>
      <c r="AB73" s="104" cm="1">
        <f t="array" ref="AB73">SUMPRODUCT(('Projects Overview'!$B$2:$B$5021="Drawworks Callipers (MB)")*('Projects Overview'!$G$2:$G$5021="Risk Release")*('Projects Overview'!AK$2:AK$5021))</f>
        <v>0</v>
      </c>
      <c r="AC73" s="104" cm="1">
        <f t="array" ref="AC73">SUMPRODUCT(('Projects Overview'!$B$2:$B$5021="Drawworks Callipers (MB)")*('Projects Overview'!$G$2:$G$5021="Risk Release")*('Projects Overview'!AL$2:AL$5021))</f>
        <v>0</v>
      </c>
      <c r="AD73" s="104" cm="1">
        <f t="array" ref="AD73">SUMPRODUCT(('Projects Overview'!$B$2:$B$5021="Drawworks Callipers (MB)")*('Projects Overview'!$G$2:$G$5021="Risk Release")*('Projects Overview'!AM$2:AM$5021))</f>
        <v>0</v>
      </c>
      <c r="AE73" s="104" cm="1">
        <f t="array" ref="AE73">SUMPRODUCT(('Projects Overview'!$B$2:$B$5021="Drawworks Callipers (MB)")*('Projects Overview'!$G$2:$G$5021="Risk Release")*('Projects Overview'!AN$2:AN$5021))</f>
        <v>0</v>
      </c>
      <c r="AF73" s="104" cm="1">
        <f t="array" ref="AF73">SUMPRODUCT(('Projects Overview'!$B$2:$B$5021="Drawworks Callipers (MB)")*('Projects Overview'!$G$2:$G$5021="Risk Release")*('Projects Overview'!AO$2:AO$5021))</f>
        <v>0</v>
      </c>
      <c r="AG73" s="104" cm="1">
        <f t="array" ref="AG73">SUMPRODUCT(('Projects Overview'!$B$2:$B$5021="Drawworks Callipers (MB)")*('Projects Overview'!$G$2:$G$5021="Risk Release")*('Projects Overview'!AP$2:AP$5021))</f>
        <v>0</v>
      </c>
      <c r="AH73" s="104" cm="1">
        <f t="array" ref="AH73">SUMPRODUCT(('Projects Overview'!$B$2:$B$5021="Drawworks Callipers (MB)")*('Projects Overview'!$G$2:$G$5021="Risk Release")*('Projects Overview'!AQ$2:AQ$5021))</f>
        <v>0</v>
      </c>
      <c r="AI73" s="104" cm="1">
        <f t="array" ref="AI73">SUMPRODUCT(('Projects Overview'!$B$2:$B$5021="Drawworks Callipers (MB)")*('Projects Overview'!$G$2:$G$5021="Risk Release")*('Projects Overview'!AR$2:AR$5021))</f>
        <v>0</v>
      </c>
      <c r="AJ73" s="104" cm="1">
        <f t="array" ref="AJ73">SUMPRODUCT(('Projects Overview'!$B$2:$B$5021="Drawworks Callipers (MB)")*('Projects Overview'!$G$2:$G$5021="Risk Release")*('Projects Overview'!AS$2:AS$5021))</f>
        <v>0</v>
      </c>
      <c r="AK73" s="104" cm="1">
        <f t="array" ref="AK73">SUMPRODUCT(('Projects Overview'!$B$2:$B$5021="Drawworks Callipers (MB)")*('Projects Overview'!$G$2:$G$5021="Risk Release")*('Projects Overview'!AT$2:AT$5021))</f>
        <v>0</v>
      </c>
      <c r="AL73" s="104" cm="1">
        <f t="array" ref="AL73">SUMPRODUCT(('Projects Overview'!$B$2:$B$5021="Drawworks Callipers (MB)")*('Projects Overview'!$G$2:$G$5021="Risk Release")*('Projects Overview'!AU$2:AU$5021))</f>
        <v>0</v>
      </c>
      <c r="AM73" s="104" cm="1">
        <f t="array" ref="AM73">SUMPRODUCT(('Projects Overview'!$B$2:$B$5021="Drawworks Callipers (MB)")*('Projects Overview'!$G$2:$G$5021="Risk Release")*('Projects Overview'!AV$2:AV$5021))</f>
        <v>0</v>
      </c>
      <c r="AN73" s="9"/>
    </row>
    <row r="74" spans="1:40" ht="14.5" customHeight="1" x14ac:dyDescent="0.35">
      <c r="A74" s="222"/>
      <c r="B74" s="226"/>
      <c r="C74" s="3" t="s">
        <v>8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 cm="1">
        <f t="array" ref="I74">SUMPRODUCT(('Projects Overview'!$B$2:$B$5021="Drawworks Callipers (MB)")*('Projects Overview'!$G$2:$G$5021="Forecast")*('Projects Overview'!R$2:R$5021))</f>
        <v>0</v>
      </c>
      <c r="J74" s="104" cm="1">
        <f t="array" ref="J74">SUMPRODUCT(('Projects Overview'!$B$2:$B$5021="Drawworks Callipers (MB)")*('Projects Overview'!$G$2:$G$5021="Forecast")*('Projects Overview'!S$2:S$5021))</f>
        <v>0</v>
      </c>
      <c r="K74" s="104" cm="1">
        <f t="array" ref="K74">SUMPRODUCT(('Projects Overview'!$B$2:$B$5021="Drawworks Callipers (MB)")*('Projects Overview'!$G$2:$G$5021="Forecast")*('Projects Overview'!T$2:T$5021))</f>
        <v>0</v>
      </c>
      <c r="L74" s="104" cm="1">
        <f t="array" ref="L74">SUMPRODUCT(('Projects Overview'!$B$2:$B$5021="Drawworks Callipers (MB)")*('Projects Overview'!$G$2:$G$5021="Forecast")*('Projects Overview'!U$2:U$5021))</f>
        <v>0</v>
      </c>
      <c r="M74" s="104" cm="1">
        <f t="array" ref="M74">SUMPRODUCT(('Projects Overview'!$B$2:$B$5021="Drawworks Callipers (MB)")*('Projects Overview'!$G$2:$G$5021="Forecast")*('Projects Overview'!V$2:V$5021))</f>
        <v>0</v>
      </c>
      <c r="N74" s="104" cm="1">
        <f t="array" ref="N74">SUMPRODUCT(('Projects Overview'!$B$2:$B$5021="Drawworks Callipers (MB)")*('Projects Overview'!$G$2:$G$5021="Forecast")*('Projects Overview'!W$2:W$5021))</f>
        <v>0</v>
      </c>
      <c r="O74" s="104" cm="1">
        <f t="array" ref="O74">SUMPRODUCT(('Projects Overview'!$B$2:$B$5021="Drawworks Callipers (MB)")*('Projects Overview'!$G$2:$G$5021="Forecast")*('Projects Overview'!X$2:X$5021))</f>
        <v>0</v>
      </c>
      <c r="P74" s="104" cm="1">
        <f t="array" ref="P74">SUMPRODUCT(('Projects Overview'!$B$2:$B$5021="Drawworks Callipers (MB)")*('Projects Overview'!$G$2:$G$5021="Forecast")*('Projects Overview'!Y$2:Y$5021))</f>
        <v>0</v>
      </c>
      <c r="Q74" s="104" cm="1">
        <f t="array" ref="Q74">SUMPRODUCT(('Projects Overview'!$B$2:$B$5021="Drawworks Callipers (MB)")*('Projects Overview'!$G$2:$G$5021="Forecast")*('Projects Overview'!Z$2:Z$5021))</f>
        <v>0</v>
      </c>
      <c r="R74" s="104" cm="1">
        <f t="array" ref="R74">SUMPRODUCT(('Projects Overview'!$B$2:$B$5021="Drawworks Callipers (MB)")*('Projects Overview'!$G$2:$G$5021="Forecast")*('Projects Overview'!AA$2:AA$5021))</f>
        <v>80</v>
      </c>
      <c r="S74" s="104" cm="1">
        <f t="array" ref="S74">SUMPRODUCT(('Projects Overview'!$B$2:$B$5021="Drawworks Callipers (MB)")*('Projects Overview'!$G$2:$G$5021="Forecast")*('Projects Overview'!AB$2:AB$5021))</f>
        <v>0</v>
      </c>
      <c r="T74" s="104" cm="1">
        <f t="array" ref="T74">SUMPRODUCT(('Projects Overview'!$B$2:$B$5021="Drawworks Callipers (MB)")*('Projects Overview'!$G$2:$G$5021="Forecast")*('Projects Overview'!AC$2:AC$5021))</f>
        <v>0</v>
      </c>
      <c r="U74" s="104" cm="1">
        <f t="array" ref="U74">SUMPRODUCT(('Projects Overview'!$B$2:$B$5021="Drawworks Callipers (MB)")*('Projects Overview'!$G$2:$G$5021="Forecast")*('Projects Overview'!AD$2:AD$5021))</f>
        <v>440</v>
      </c>
      <c r="V74" s="104" cm="1">
        <f t="array" ref="V74">SUMPRODUCT(('Projects Overview'!$B$2:$B$5021="Drawworks Callipers (MB)")*('Projects Overview'!$G$2:$G$5021="Forecast")*('Projects Overview'!AE$2:AE$5021))</f>
        <v>0</v>
      </c>
      <c r="W74" s="104" cm="1">
        <f t="array" ref="W74">SUMPRODUCT(('Projects Overview'!$B$2:$B$5021="Drawworks Callipers (MB)")*('Projects Overview'!$G$2:$G$5021="Forecast")*('Projects Overview'!AF$2:AF$5021))</f>
        <v>0</v>
      </c>
      <c r="X74" s="104" cm="1">
        <f t="array" ref="X74">SUMPRODUCT(('Projects Overview'!$B$2:$B$5021="Drawworks Callipers (MB)")*('Projects Overview'!$G$2:$G$5021="Forecast")*('Projects Overview'!AG$2:AG$5021))</f>
        <v>0</v>
      </c>
      <c r="Y74" s="104" cm="1">
        <f t="array" ref="Y74">SUMPRODUCT(('Projects Overview'!$B$2:$B$5021="Drawworks Callipers (MB)")*('Projects Overview'!$G$2:$G$5021="Forecast")*('Projects Overview'!AH$2:AH$5021))</f>
        <v>0</v>
      </c>
      <c r="Z74" s="104" cm="1">
        <f t="array" ref="Z74">SUMPRODUCT(('Projects Overview'!$B$2:$B$5021="Drawworks Callipers (MB)")*('Projects Overview'!$G$2:$G$5021="Forecast")*('Projects Overview'!AI$2:AI$5021))</f>
        <v>0</v>
      </c>
      <c r="AA74" s="104" cm="1">
        <f t="array" ref="AA74">SUMPRODUCT(('Projects Overview'!$B$2:$B$5021="Drawworks Callipers (MB)")*('Projects Overview'!$G$2:$G$5021="Forecast")*('Projects Overview'!AJ$2:AJ$5021))</f>
        <v>0</v>
      </c>
      <c r="AB74" s="104" cm="1">
        <f t="array" ref="AB74">SUMPRODUCT(('Projects Overview'!$B$2:$B$5021="Drawworks Callipers (MB)")*('Projects Overview'!$G$2:$G$5021="Forecast")*('Projects Overview'!AK$2:AK$5021))</f>
        <v>0</v>
      </c>
      <c r="AC74" s="104" cm="1">
        <f t="array" ref="AC74">SUMPRODUCT(('Projects Overview'!$B$2:$B$5021="Drawworks Callipers (MB)")*('Projects Overview'!$G$2:$G$5021="Forecast")*('Projects Overview'!AL$2:AL$5021))</f>
        <v>0</v>
      </c>
      <c r="AD74" s="104" cm="1">
        <f t="array" ref="AD74">SUMPRODUCT(('Projects Overview'!$B$2:$B$5021="Drawworks Callipers (MB)")*('Projects Overview'!$G$2:$G$5021="Forecast")*('Projects Overview'!AM$2:AM$5021))</f>
        <v>0</v>
      </c>
      <c r="AE74" s="104" cm="1">
        <f t="array" ref="AE74">SUMPRODUCT(('Projects Overview'!$B$2:$B$5021="Drawworks Callipers (MB)")*('Projects Overview'!$G$2:$G$5021="Forecast")*('Projects Overview'!AN$2:AN$5021))</f>
        <v>0</v>
      </c>
      <c r="AF74" s="104" cm="1">
        <f t="array" ref="AF74">SUMPRODUCT(('Projects Overview'!$B$2:$B$5021="Drawworks Callipers (MB)")*('Projects Overview'!$G$2:$G$5021="Forecast")*('Projects Overview'!AO$2:AO$5021))</f>
        <v>0</v>
      </c>
      <c r="AG74" s="104" cm="1">
        <f t="array" ref="AG74">SUMPRODUCT(('Projects Overview'!$B$2:$B$5021="Drawworks Callipers (MB)")*('Projects Overview'!$G$2:$G$5021="Forecast")*('Projects Overview'!AP$2:AP$5021))</f>
        <v>0</v>
      </c>
      <c r="AH74" s="104" cm="1">
        <f t="array" ref="AH74">SUMPRODUCT(('Projects Overview'!$B$2:$B$5021="Drawworks Callipers (MB)")*('Projects Overview'!$G$2:$G$5021="Forecast")*('Projects Overview'!AQ$2:AQ$5021))</f>
        <v>0</v>
      </c>
      <c r="AI74" s="104" cm="1">
        <f t="array" ref="AI74">SUMPRODUCT(('Projects Overview'!$B$2:$B$5021="Drawworks Callipers (MB)")*('Projects Overview'!$G$2:$G$5021="Forecast")*('Projects Overview'!AR$2:AR$5021))</f>
        <v>0</v>
      </c>
      <c r="AJ74" s="104" cm="1">
        <f t="array" ref="AJ74">SUMPRODUCT(('Projects Overview'!$B$2:$B$5021="Drawworks Callipers (MB)")*('Projects Overview'!$G$2:$G$5021="Forecast")*('Projects Overview'!AS$2:AS$5021))</f>
        <v>0</v>
      </c>
      <c r="AK74" s="104" cm="1">
        <f t="array" ref="AK74">SUMPRODUCT(('Projects Overview'!$B$2:$B$5021="Drawworks Callipers (MB)")*('Projects Overview'!$G$2:$G$5021="Forecast")*('Projects Overview'!AT$2:AT$5021))</f>
        <v>0</v>
      </c>
      <c r="AL74" s="104" cm="1">
        <f t="array" ref="AL74">SUMPRODUCT(('Projects Overview'!$B$2:$B$5021="Drawworks Callipers (MB)")*('Projects Overview'!$G$2:$G$5021="Forecast")*('Projects Overview'!AU$2:AU$5021))</f>
        <v>0</v>
      </c>
      <c r="AM74" s="104" cm="1">
        <f t="array" ref="AM74">SUMPRODUCT(('Projects Overview'!$B$2:$B$5021="Drawworks Callipers (MB)")*('Projects Overview'!$G$2:$G$5021="Forecast")*('Projects Overview'!AV$2:AV$5021))</f>
        <v>0</v>
      </c>
      <c r="AN74" s="9"/>
    </row>
    <row r="75" spans="1:40" ht="14.5" customHeight="1" x14ac:dyDescent="0.35">
      <c r="A75" s="222"/>
      <c r="B75" s="224" t="s">
        <v>147</v>
      </c>
      <c r="C75" s="1" t="s">
        <v>4</v>
      </c>
      <c r="D75" s="104">
        <v>0</v>
      </c>
      <c r="E75" s="104">
        <v>0</v>
      </c>
      <c r="F75" s="104">
        <v>0</v>
      </c>
      <c r="G75" s="104">
        <v>0</v>
      </c>
      <c r="H75" s="104">
        <v>0</v>
      </c>
      <c r="I75" s="104" cm="1">
        <f t="array" ref="I75">SUMPRODUCT(('Projects Overview'!$B$2:$B$5021="Drawworks Callipers (BKB)")*('Projects Overview'!$G$2:$G$5021="Firm")*('Projects Overview'!R$2:R$5021))</f>
        <v>0</v>
      </c>
      <c r="J75" s="104" cm="1">
        <f t="array" ref="J75">SUMPRODUCT(('Projects Overview'!$B$2:$B$5021="Drawworks Callipers (BKB)")*('Projects Overview'!$G$2:$G$5021="Firm")*('Projects Overview'!S$2:S$5021))</f>
        <v>0</v>
      </c>
      <c r="K75" s="104" cm="1">
        <f t="array" ref="K75">SUMPRODUCT(('Projects Overview'!$B$2:$B$5021="Drawworks Callipers (BKB)")*('Projects Overview'!$G$2:$G$5021="Firm")*('Projects Overview'!T$2:T$5021))</f>
        <v>0</v>
      </c>
      <c r="L75" s="104" cm="1">
        <f t="array" ref="L75">SUMPRODUCT(('Projects Overview'!$B$2:$B$5021="Drawworks Callipers (BKB)")*('Projects Overview'!$G$2:$G$5021="Firm")*('Projects Overview'!U$2:U$5021))</f>
        <v>0</v>
      </c>
      <c r="M75" s="104" cm="1">
        <f t="array" ref="M75">SUMPRODUCT(('Projects Overview'!$B$2:$B$5021="Drawworks Callipers (BKB)")*('Projects Overview'!$G$2:$G$5021="Firm")*('Projects Overview'!V$2:V$5021))</f>
        <v>0</v>
      </c>
      <c r="N75" s="104" cm="1">
        <f t="array" ref="N75">SUMPRODUCT(('Projects Overview'!$B$2:$B$5021="Drawworks Callipers (BKB)")*('Projects Overview'!$G$2:$G$5021="Firm")*('Projects Overview'!W$2:W$5021))</f>
        <v>0</v>
      </c>
      <c r="O75" s="104" cm="1">
        <f t="array" ref="O75">SUMPRODUCT(('Projects Overview'!$B$2:$B$5021="Drawworks Callipers (BKB)")*('Projects Overview'!$G$2:$G$5021="Firm")*('Projects Overview'!X$2:X$5021))</f>
        <v>0</v>
      </c>
      <c r="P75" s="104" cm="1">
        <f t="array" ref="P75">SUMPRODUCT(('Projects Overview'!$B$2:$B$5021="Drawworks Callipers (BKB)")*('Projects Overview'!$G$2:$G$5021="Firm")*('Projects Overview'!Y$2:Y$5021))</f>
        <v>0</v>
      </c>
      <c r="Q75" s="104" cm="1">
        <f t="array" ref="Q75">SUMPRODUCT(('Projects Overview'!$B$2:$B$5021="Drawworks Callipers (BKB)")*('Projects Overview'!$G$2:$G$5021="Firm")*('Projects Overview'!Z$2:Z$5021))</f>
        <v>0</v>
      </c>
      <c r="R75" s="104" cm="1">
        <f t="array" ref="R75">SUMPRODUCT(('Projects Overview'!$B$2:$B$5021="Drawworks Callipers (BKB)")*('Projects Overview'!$G$2:$G$5021="Firm")*('Projects Overview'!AA$2:AA$5021))</f>
        <v>0</v>
      </c>
      <c r="S75" s="104" cm="1">
        <f t="array" ref="S75">SUMPRODUCT(('Projects Overview'!$B$2:$B$5021="Drawworks Callipers (BKB)")*('Projects Overview'!$G$2:$G$5021="Firm")*('Projects Overview'!AB$2:AB$5021))</f>
        <v>0</v>
      </c>
      <c r="T75" s="104" cm="1">
        <f t="array" ref="T75">SUMPRODUCT(('Projects Overview'!$B$2:$B$5021="Drawworks Callipers (BKB)")*('Projects Overview'!$G$2:$G$5021="Firm")*('Projects Overview'!AC$2:AC$5021))</f>
        <v>0</v>
      </c>
      <c r="U75" s="104" cm="1">
        <f t="array" ref="U75">SUMPRODUCT(('Projects Overview'!$B$2:$B$5021="Drawworks Callipers (BKB)")*('Projects Overview'!$G$2:$G$5021="Firm")*('Projects Overview'!AD$2:AD$5021))</f>
        <v>0</v>
      </c>
      <c r="V75" s="104" cm="1">
        <f t="array" ref="V75">SUMPRODUCT(('Projects Overview'!$B$2:$B$5021="Drawworks Callipers (BKB)")*('Projects Overview'!$G$2:$G$5021="Firm")*('Projects Overview'!AE$2:AE$5021))</f>
        <v>0</v>
      </c>
      <c r="W75" s="104" cm="1">
        <f t="array" ref="W75">SUMPRODUCT(('Projects Overview'!$B$2:$B$5021="Drawworks Callipers (BKB)")*('Projects Overview'!$G$2:$G$5021="Firm")*('Projects Overview'!AF$2:AF$5021))</f>
        <v>0</v>
      </c>
      <c r="X75" s="104" cm="1">
        <f t="array" ref="X75">SUMPRODUCT(('Projects Overview'!$B$2:$B$5021="Drawworks Callipers (BKB)")*('Projects Overview'!$G$2:$G$5021="Firm")*('Projects Overview'!AG$2:AG$5021))</f>
        <v>0</v>
      </c>
      <c r="Y75" s="104" cm="1">
        <f t="array" ref="Y75">SUMPRODUCT(('Projects Overview'!$B$2:$B$5021="Drawworks Callipers (BKB)")*('Projects Overview'!$G$2:$G$5021="Firm")*('Projects Overview'!AH$2:AH$5021))</f>
        <v>0</v>
      </c>
      <c r="Z75" s="104" cm="1">
        <f t="array" ref="Z75">SUMPRODUCT(('Projects Overview'!$B$2:$B$5021="Drawworks Callipers (BKB)")*('Projects Overview'!$G$2:$G$5021="Firm")*('Projects Overview'!AI$2:AI$5021))</f>
        <v>0</v>
      </c>
      <c r="AA75" s="104" cm="1">
        <f t="array" ref="AA75">SUMPRODUCT(('Projects Overview'!$B$2:$B$5021="Drawworks Callipers (BKB)")*('Projects Overview'!$G$2:$G$5021="Firm")*('Projects Overview'!AJ$2:AJ$5021))</f>
        <v>0</v>
      </c>
      <c r="AB75" s="104" cm="1">
        <f t="array" ref="AB75">SUMPRODUCT(('Projects Overview'!$B$2:$B$5021="Drawworks Callipers (BKB)")*('Projects Overview'!$G$2:$G$5021="Firm")*('Projects Overview'!AK$2:AK$5021))</f>
        <v>0</v>
      </c>
      <c r="AC75" s="104" cm="1">
        <f t="array" ref="AC75">SUMPRODUCT(('Projects Overview'!$B$2:$B$5021="Drawworks Callipers (BKB)")*('Projects Overview'!$G$2:$G$5021="Firm")*('Projects Overview'!AL$2:AL$5021))</f>
        <v>0</v>
      </c>
      <c r="AD75" s="104" cm="1">
        <f t="array" ref="AD75">SUMPRODUCT(('Projects Overview'!$B$2:$B$5021="Drawworks Callipers (BKB)")*('Projects Overview'!$G$2:$G$5021="Firm")*('Projects Overview'!AM$2:AM$5021))</f>
        <v>0</v>
      </c>
      <c r="AE75" s="104" cm="1">
        <f t="array" ref="AE75">SUMPRODUCT(('Projects Overview'!$B$2:$B$5021="Drawworks Callipers (BKB)")*('Projects Overview'!$G$2:$G$5021="Firm")*('Projects Overview'!AN$2:AN$5021))</f>
        <v>0</v>
      </c>
      <c r="AF75" s="104" cm="1">
        <f t="array" ref="AF75">SUMPRODUCT(('Projects Overview'!$B$2:$B$5021="Drawworks Callipers (BKB)")*('Projects Overview'!$G$2:$G$5021="Firm")*('Projects Overview'!AO$2:AO$5021))</f>
        <v>0</v>
      </c>
      <c r="AG75" s="104" cm="1">
        <f t="array" ref="AG75">SUMPRODUCT(('Projects Overview'!$B$2:$B$5021="Drawworks Callipers (BKB)")*('Projects Overview'!$G$2:$G$5021="Firm")*('Projects Overview'!AP$2:AP$5021))</f>
        <v>0</v>
      </c>
      <c r="AH75" s="104" cm="1">
        <f t="array" ref="AH75">SUMPRODUCT(('Projects Overview'!$B$2:$B$5021="Drawworks Callipers (BKB)")*('Projects Overview'!$G$2:$G$5021="Firm")*('Projects Overview'!AQ$2:AQ$5021))</f>
        <v>0</v>
      </c>
      <c r="AI75" s="104" cm="1">
        <f t="array" ref="AI75">SUMPRODUCT(('Projects Overview'!$B$2:$B$5021="Drawworks Callipers (BKB)")*('Projects Overview'!$G$2:$G$5021="Firm")*('Projects Overview'!AR$2:AR$5021))</f>
        <v>0</v>
      </c>
      <c r="AJ75" s="104" cm="1">
        <f t="array" ref="AJ75">SUMPRODUCT(('Projects Overview'!$B$2:$B$5021="Drawworks Callipers (BKB)")*('Projects Overview'!$G$2:$G$5021="Firm")*('Projects Overview'!AS$2:AS$5021))</f>
        <v>0</v>
      </c>
      <c r="AK75" s="104" cm="1">
        <f t="array" ref="AK75">SUMPRODUCT(('Projects Overview'!$B$2:$B$5021="Drawworks Callipers (BKB)")*('Projects Overview'!$G$2:$G$5021="Firm")*('Projects Overview'!AT$2:AT$5021))</f>
        <v>0</v>
      </c>
      <c r="AL75" s="104" cm="1">
        <f t="array" ref="AL75">SUMPRODUCT(('Projects Overview'!$B$2:$B$5021="Drawworks Callipers (BKB)")*('Projects Overview'!$G$2:$G$5021="Firm")*('Projects Overview'!AU$2:AU$5021))</f>
        <v>0</v>
      </c>
      <c r="AM75" s="104" cm="1">
        <f t="array" ref="AM75">SUMPRODUCT(('Projects Overview'!$B$2:$B$5021="Drawworks Callipers (BKB)")*('Projects Overview'!$G$2:$G$5021="Firm")*('Projects Overview'!AV$2:AV$5021))</f>
        <v>0</v>
      </c>
      <c r="AN75" s="9"/>
    </row>
    <row r="76" spans="1:40" x14ac:dyDescent="0.35">
      <c r="A76" s="222"/>
      <c r="B76" s="225"/>
      <c r="C76" s="2" t="s">
        <v>6</v>
      </c>
      <c r="D76" s="104">
        <v>0</v>
      </c>
      <c r="E76" s="104">
        <v>0</v>
      </c>
      <c r="F76" s="104">
        <v>0</v>
      </c>
      <c r="G76" s="104">
        <v>0</v>
      </c>
      <c r="H76" s="104">
        <v>0</v>
      </c>
      <c r="I76" s="104" cm="1">
        <f t="array" ref="I76">SUMPRODUCT(('Projects Overview'!$B$2:$B$5021="Drawworks Callipers (BKB)")*('Projects Overview'!$G$2:$G$5021="Risk Release")*('Projects Overview'!R$2:R$5021))</f>
        <v>0</v>
      </c>
      <c r="J76" s="104" cm="1">
        <f t="array" ref="J76">SUMPRODUCT(('Projects Overview'!$B$2:$B$5021="Drawworks Callipers (BKB)")*('Projects Overview'!$G$2:$G$5021="Risk Release")*('Projects Overview'!S$2:S$5021))</f>
        <v>0</v>
      </c>
      <c r="K76" s="104" cm="1">
        <f t="array" ref="K76">SUMPRODUCT(('Projects Overview'!$B$2:$B$5021="Drawworks Callipers (BKB)")*('Projects Overview'!$G$2:$G$5021="Risk Release")*('Projects Overview'!T$2:T$5021))</f>
        <v>0</v>
      </c>
      <c r="L76" s="104" cm="1">
        <f t="array" ref="L76">SUMPRODUCT(('Projects Overview'!$B$2:$B$5021="Drawworks Callipers (BKB)")*('Projects Overview'!$G$2:$G$5021="Risk Release")*('Projects Overview'!U$2:U$5021))</f>
        <v>0</v>
      </c>
      <c r="M76" s="104" cm="1">
        <f t="array" ref="M76">SUMPRODUCT(('Projects Overview'!$B$2:$B$5021="Drawworks Callipers (BKB)")*('Projects Overview'!$G$2:$G$5021="Risk Release")*('Projects Overview'!V$2:V$5021))</f>
        <v>0</v>
      </c>
      <c r="N76" s="104" cm="1">
        <f t="array" ref="N76">SUMPRODUCT(('Projects Overview'!$B$2:$B$5021="Drawworks Callipers (BKB)")*('Projects Overview'!$G$2:$G$5021="Risk Release")*('Projects Overview'!W$2:W$5021))</f>
        <v>0</v>
      </c>
      <c r="O76" s="104" cm="1">
        <f t="array" ref="O76">SUMPRODUCT(('Projects Overview'!$B$2:$B$5021="Drawworks Callipers (BKB)")*('Projects Overview'!$G$2:$G$5021="Risk Release")*('Projects Overview'!X$2:X$5021))</f>
        <v>0</v>
      </c>
      <c r="P76" s="104" cm="1">
        <f t="array" ref="P76">SUMPRODUCT(('Projects Overview'!$B$2:$B$5021="Drawworks Callipers (BKB)")*('Projects Overview'!$G$2:$G$5021="Risk Release")*('Projects Overview'!Y$2:Y$5021))</f>
        <v>0</v>
      </c>
      <c r="Q76" s="104" cm="1">
        <f t="array" ref="Q76">SUMPRODUCT(('Projects Overview'!$B$2:$B$5021="Drawworks Callipers (BKB)")*('Projects Overview'!$G$2:$G$5021="Risk Release")*('Projects Overview'!Z$2:Z$5021))</f>
        <v>0</v>
      </c>
      <c r="R76" s="104" cm="1">
        <f t="array" ref="R76">SUMPRODUCT(('Projects Overview'!$B$2:$B$5021="Drawworks Callipers (BKB)")*('Projects Overview'!$G$2:$G$5021="Risk Release")*('Projects Overview'!AA$2:AA$5021))</f>
        <v>0</v>
      </c>
      <c r="S76" s="104" cm="1">
        <f t="array" ref="S76">SUMPRODUCT(('Projects Overview'!$B$2:$B$5021="Drawworks Callipers (BKB)")*('Projects Overview'!$G$2:$G$5021="Risk Release")*('Projects Overview'!AB$2:AB$5021))</f>
        <v>0</v>
      </c>
      <c r="T76" s="104" cm="1">
        <f t="array" ref="T76">SUMPRODUCT(('Projects Overview'!$B$2:$B$5021="Drawworks Callipers (BKB)")*('Projects Overview'!$G$2:$G$5021="Risk Release")*('Projects Overview'!AC$2:AC$5021))</f>
        <v>0</v>
      </c>
      <c r="U76" s="104" cm="1">
        <f t="array" ref="U76">SUMPRODUCT(('Projects Overview'!$B$2:$B$5021="Drawworks Callipers (BKB)")*('Projects Overview'!$G$2:$G$5021="Risk Release")*('Projects Overview'!AD$2:AD$5021))</f>
        <v>0</v>
      </c>
      <c r="V76" s="104" cm="1">
        <f t="array" ref="V76">SUMPRODUCT(('Projects Overview'!$B$2:$B$5021="Drawworks Callipers (BKB)")*('Projects Overview'!$G$2:$G$5021="Risk Release")*('Projects Overview'!AE$2:AE$5021))</f>
        <v>0</v>
      </c>
      <c r="W76" s="104" cm="1">
        <f t="array" ref="W76">SUMPRODUCT(('Projects Overview'!$B$2:$B$5021="Drawworks Callipers (BKB)")*('Projects Overview'!$G$2:$G$5021="Risk Release")*('Projects Overview'!AF$2:AF$5021))</f>
        <v>0</v>
      </c>
      <c r="X76" s="104" cm="1">
        <f t="array" ref="X76">SUMPRODUCT(('Projects Overview'!$B$2:$B$5021="Drawworks Callipers (BKB)")*('Projects Overview'!$G$2:$G$5021="Risk Release")*('Projects Overview'!AG$2:AG$5021))</f>
        <v>0</v>
      </c>
      <c r="Y76" s="104" cm="1">
        <f t="array" ref="Y76">SUMPRODUCT(('Projects Overview'!$B$2:$B$5021="Drawworks Callipers (BKB)")*('Projects Overview'!$G$2:$G$5021="Risk Release")*('Projects Overview'!AH$2:AH$5021))</f>
        <v>0</v>
      </c>
      <c r="Z76" s="104" cm="1">
        <f t="array" ref="Z76">SUMPRODUCT(('Projects Overview'!$B$2:$B$5021="Drawworks Callipers (BKB)")*('Projects Overview'!$G$2:$G$5021="Risk Release")*('Projects Overview'!AI$2:AI$5021))</f>
        <v>0</v>
      </c>
      <c r="AA76" s="104" cm="1">
        <f t="array" ref="AA76">SUMPRODUCT(('Projects Overview'!$B$2:$B$5021="Drawworks Callipers (BKB)")*('Projects Overview'!$G$2:$G$5021="Risk Release")*('Projects Overview'!AJ$2:AJ$5021))</f>
        <v>0</v>
      </c>
      <c r="AB76" s="104" cm="1">
        <f t="array" ref="AB76">SUMPRODUCT(('Projects Overview'!$B$2:$B$5021="Drawworks Callipers (BKB)")*('Projects Overview'!$G$2:$G$5021="Risk Release")*('Projects Overview'!AK$2:AK$5021))</f>
        <v>0</v>
      </c>
      <c r="AC76" s="104" cm="1">
        <f t="array" ref="AC76">SUMPRODUCT(('Projects Overview'!$B$2:$B$5021="Drawworks Callipers (BKB)")*('Projects Overview'!$G$2:$G$5021="Risk Release")*('Projects Overview'!AL$2:AL$5021))</f>
        <v>0</v>
      </c>
      <c r="AD76" s="104" cm="1">
        <f t="array" ref="AD76">SUMPRODUCT(('Projects Overview'!$B$2:$B$5021="Drawworks Callipers (BKB)")*('Projects Overview'!$G$2:$G$5021="Risk Release")*('Projects Overview'!AM$2:AM$5021))</f>
        <v>0</v>
      </c>
      <c r="AE76" s="104" cm="1">
        <f t="array" ref="AE76">SUMPRODUCT(('Projects Overview'!$B$2:$B$5021="Drawworks Callipers (BKB)")*('Projects Overview'!$G$2:$G$5021="Risk Release")*('Projects Overview'!AN$2:AN$5021))</f>
        <v>0</v>
      </c>
      <c r="AF76" s="104" cm="1">
        <f t="array" ref="AF76">SUMPRODUCT(('Projects Overview'!$B$2:$B$5021="Drawworks Callipers (BKB)")*('Projects Overview'!$G$2:$G$5021="Risk Release")*('Projects Overview'!AO$2:AO$5021))</f>
        <v>0</v>
      </c>
      <c r="AG76" s="104" cm="1">
        <f t="array" ref="AG76">SUMPRODUCT(('Projects Overview'!$B$2:$B$5021="Drawworks Callipers (BKB)")*('Projects Overview'!$G$2:$G$5021="Risk Release")*('Projects Overview'!AP$2:AP$5021))</f>
        <v>0</v>
      </c>
      <c r="AH76" s="104" cm="1">
        <f t="array" ref="AH76">SUMPRODUCT(('Projects Overview'!$B$2:$B$5021="Drawworks Callipers (BKB)")*('Projects Overview'!$G$2:$G$5021="Risk Release")*('Projects Overview'!AQ$2:AQ$5021))</f>
        <v>0</v>
      </c>
      <c r="AI76" s="104" cm="1">
        <f t="array" ref="AI76">SUMPRODUCT(('Projects Overview'!$B$2:$B$5021="Drawworks Callipers (BKB)")*('Projects Overview'!$G$2:$G$5021="Risk Release")*('Projects Overview'!AR$2:AR$5021))</f>
        <v>0</v>
      </c>
      <c r="AJ76" s="104" cm="1">
        <f t="array" ref="AJ76">SUMPRODUCT(('Projects Overview'!$B$2:$B$5021="Drawworks Callipers (BKB)")*('Projects Overview'!$G$2:$G$5021="Risk Release")*('Projects Overview'!AS$2:AS$5021))</f>
        <v>0</v>
      </c>
      <c r="AK76" s="104" cm="1">
        <f t="array" ref="AK76">SUMPRODUCT(('Projects Overview'!$B$2:$B$5021="Drawworks Callipers (BKB)")*('Projects Overview'!$G$2:$G$5021="Risk Release")*('Projects Overview'!AT$2:AT$5021))</f>
        <v>0</v>
      </c>
      <c r="AL76" s="104" cm="1">
        <f t="array" ref="AL76">SUMPRODUCT(('Projects Overview'!$B$2:$B$5021="Drawworks Callipers (BKB)")*('Projects Overview'!$G$2:$G$5021="Risk Release")*('Projects Overview'!AU$2:AU$5021))</f>
        <v>0</v>
      </c>
      <c r="AM76" s="104" cm="1">
        <f t="array" ref="AM76">SUMPRODUCT(('Projects Overview'!$B$2:$B$5021="Drawworks Callipers (BKB)")*('Projects Overview'!$G$2:$G$5021="Risk Release")*('Projects Overview'!AV$2:AV$5021))</f>
        <v>0</v>
      </c>
      <c r="AN76" s="9"/>
    </row>
    <row r="77" spans="1:40" x14ac:dyDescent="0.35">
      <c r="A77" s="222"/>
      <c r="B77" s="225"/>
      <c r="C77" s="3" t="s">
        <v>8</v>
      </c>
      <c r="D77" s="104">
        <v>0</v>
      </c>
      <c r="E77" s="104">
        <v>0</v>
      </c>
      <c r="F77" s="104">
        <v>0</v>
      </c>
      <c r="G77" s="104">
        <v>0</v>
      </c>
      <c r="H77" s="104">
        <v>0</v>
      </c>
      <c r="I77" s="104" cm="1">
        <f t="array" ref="I77">SUMPRODUCT(('Projects Overview'!$B$2:$B$5021="Drawworks Callipers (BKB)")*('Projects Overview'!$G$2:$G$5021="Forecast")*('Projects Overview'!R$2:R$5021))</f>
        <v>0</v>
      </c>
      <c r="J77" s="104" cm="1">
        <f t="array" ref="J77">SUMPRODUCT(('Projects Overview'!$B$2:$B$5021="Drawworks Callipers (BKB)")*('Projects Overview'!$G$2:$G$5021="Forecast")*('Projects Overview'!S$2:S$5021))</f>
        <v>0</v>
      </c>
      <c r="K77" s="104" cm="1">
        <f t="array" ref="K77">SUMPRODUCT(('Projects Overview'!$B$2:$B$5021="Drawworks Callipers (BKB)")*('Projects Overview'!$G$2:$G$5021="Forecast")*('Projects Overview'!T$2:T$5021))</f>
        <v>0</v>
      </c>
      <c r="L77" s="104" cm="1">
        <f t="array" ref="L77">SUMPRODUCT(('Projects Overview'!$B$2:$B$5021="Drawworks Callipers (BKB)")*('Projects Overview'!$G$2:$G$5021="Forecast")*('Projects Overview'!U$2:U$5021))</f>
        <v>0</v>
      </c>
      <c r="M77" s="104" cm="1">
        <f t="array" ref="M77">SUMPRODUCT(('Projects Overview'!$B$2:$B$5021="Drawworks Callipers (BKB)")*('Projects Overview'!$G$2:$G$5021="Forecast")*('Projects Overview'!V$2:V$5021))</f>
        <v>0</v>
      </c>
      <c r="N77" s="104" cm="1">
        <f t="array" ref="N77">SUMPRODUCT(('Projects Overview'!$B$2:$B$5021="Drawworks Callipers (BKB)")*('Projects Overview'!$G$2:$G$5021="Forecast")*('Projects Overview'!W$2:W$5021))</f>
        <v>0</v>
      </c>
      <c r="O77" s="104" cm="1">
        <f t="array" ref="O77">SUMPRODUCT(('Projects Overview'!$B$2:$B$5021="Drawworks Callipers (BKB)")*('Projects Overview'!$G$2:$G$5021="Forecast")*('Projects Overview'!X$2:X$5021))</f>
        <v>0</v>
      </c>
      <c r="P77" s="104" cm="1">
        <f t="array" ref="P77">SUMPRODUCT(('Projects Overview'!$B$2:$B$5021="Drawworks Callipers (BKB)")*('Projects Overview'!$G$2:$G$5021="Forecast")*('Projects Overview'!Y$2:Y$5021))</f>
        <v>0</v>
      </c>
      <c r="Q77" s="104" cm="1">
        <f t="array" ref="Q77">SUMPRODUCT(('Projects Overview'!$B$2:$B$5021="Drawworks Callipers (BKB)")*('Projects Overview'!$G$2:$G$5021="Forecast")*('Projects Overview'!Z$2:Z$5021))</f>
        <v>0</v>
      </c>
      <c r="R77" s="104" cm="1">
        <f t="array" ref="R77">SUMPRODUCT(('Projects Overview'!$B$2:$B$5021="Drawworks Callipers (BKB)")*('Projects Overview'!$G$2:$G$5021="Forecast")*('Projects Overview'!AA$2:AA$5021))</f>
        <v>0</v>
      </c>
      <c r="S77" s="104" cm="1">
        <f t="array" ref="S77">SUMPRODUCT(('Projects Overview'!$B$2:$B$5021="Drawworks Callipers (BKB)")*('Projects Overview'!$G$2:$G$5021="Forecast")*('Projects Overview'!AB$2:AB$5021))</f>
        <v>0</v>
      </c>
      <c r="T77" s="104" cm="1">
        <f t="array" ref="T77">SUMPRODUCT(('Projects Overview'!$B$2:$B$5021="Drawworks Callipers (BKB)")*('Projects Overview'!$G$2:$G$5021="Forecast")*('Projects Overview'!AC$2:AC$5021))</f>
        <v>0</v>
      </c>
      <c r="U77" s="104" cm="1">
        <f t="array" ref="U77">SUMPRODUCT(('Projects Overview'!$B$2:$B$5021="Drawworks Callipers (BKB)")*('Projects Overview'!$G$2:$G$5021="Forecast")*('Projects Overview'!AD$2:AD$5021))</f>
        <v>0</v>
      </c>
      <c r="V77" s="104" cm="1">
        <f t="array" ref="V77">SUMPRODUCT(('Projects Overview'!$B$2:$B$5021="Drawworks Callipers (BKB)")*('Projects Overview'!$G$2:$G$5021="Forecast")*('Projects Overview'!AE$2:AE$5021))</f>
        <v>0</v>
      </c>
      <c r="W77" s="104" cm="1">
        <f t="array" ref="W77">SUMPRODUCT(('Projects Overview'!$B$2:$B$5021="Drawworks Callipers (BKB)")*('Projects Overview'!$G$2:$G$5021="Forecast")*('Projects Overview'!AF$2:AF$5021))</f>
        <v>0</v>
      </c>
      <c r="X77" s="104" cm="1">
        <f t="array" ref="X77">SUMPRODUCT(('Projects Overview'!$B$2:$B$5021="Drawworks Callipers (BKB)")*('Projects Overview'!$G$2:$G$5021="Forecast")*('Projects Overview'!AG$2:AG$5021))</f>
        <v>0</v>
      </c>
      <c r="Y77" s="104" cm="1">
        <f t="array" ref="Y77">SUMPRODUCT(('Projects Overview'!$B$2:$B$5021="Drawworks Callipers (BKB)")*('Projects Overview'!$G$2:$G$5021="Forecast")*('Projects Overview'!AH$2:AH$5021))</f>
        <v>0</v>
      </c>
      <c r="Z77" s="104" cm="1">
        <f t="array" ref="Z77">SUMPRODUCT(('Projects Overview'!$B$2:$B$5021="Drawworks Callipers (BKB)")*('Projects Overview'!$G$2:$G$5021="Forecast")*('Projects Overview'!AI$2:AI$5021))</f>
        <v>0</v>
      </c>
      <c r="AA77" s="104" cm="1">
        <f t="array" ref="AA77">SUMPRODUCT(('Projects Overview'!$B$2:$B$5021="Drawworks Callipers (BKB)")*('Projects Overview'!$G$2:$G$5021="Forecast")*('Projects Overview'!AJ$2:AJ$5021))</f>
        <v>0</v>
      </c>
      <c r="AB77" s="104" cm="1">
        <f t="array" ref="AB77">SUMPRODUCT(('Projects Overview'!$B$2:$B$5021="Drawworks Callipers (BKB)")*('Projects Overview'!$G$2:$G$5021="Forecast")*('Projects Overview'!AK$2:AK$5021))</f>
        <v>0</v>
      </c>
      <c r="AC77" s="104" cm="1">
        <f t="array" ref="AC77">SUMPRODUCT(('Projects Overview'!$B$2:$B$5021="Drawworks Callipers (BKB)")*('Projects Overview'!$G$2:$G$5021="Forecast")*('Projects Overview'!AL$2:AL$5021))</f>
        <v>0</v>
      </c>
      <c r="AD77" s="104" cm="1">
        <f t="array" ref="AD77">SUMPRODUCT(('Projects Overview'!$B$2:$B$5021="Drawworks Callipers (BKB)")*('Projects Overview'!$G$2:$G$5021="Forecast")*('Projects Overview'!AM$2:AM$5021))</f>
        <v>0</v>
      </c>
      <c r="AE77" s="104" cm="1">
        <f t="array" ref="AE77">SUMPRODUCT(('Projects Overview'!$B$2:$B$5021="Drawworks Callipers (BKB)")*('Projects Overview'!$G$2:$G$5021="Forecast")*('Projects Overview'!AN$2:AN$5021))</f>
        <v>0</v>
      </c>
      <c r="AF77" s="104" cm="1">
        <f t="array" ref="AF77">SUMPRODUCT(('Projects Overview'!$B$2:$B$5021="Drawworks Callipers (BKB)")*('Projects Overview'!$G$2:$G$5021="Forecast")*('Projects Overview'!AO$2:AO$5021))</f>
        <v>0</v>
      </c>
      <c r="AG77" s="104" cm="1">
        <f t="array" ref="AG77">SUMPRODUCT(('Projects Overview'!$B$2:$B$5021="Drawworks Callipers (BKB)")*('Projects Overview'!$G$2:$G$5021="Forecast")*('Projects Overview'!AP$2:AP$5021))</f>
        <v>0</v>
      </c>
      <c r="AH77" s="104" cm="1">
        <f t="array" ref="AH77">SUMPRODUCT(('Projects Overview'!$B$2:$B$5021="Drawworks Callipers (BKB)")*('Projects Overview'!$G$2:$G$5021="Forecast")*('Projects Overview'!AQ$2:AQ$5021))</f>
        <v>0</v>
      </c>
      <c r="AI77" s="104" cm="1">
        <f t="array" ref="AI77">SUMPRODUCT(('Projects Overview'!$B$2:$B$5021="Drawworks Callipers (BKB)")*('Projects Overview'!$G$2:$G$5021="Forecast")*('Projects Overview'!AR$2:AR$5021))</f>
        <v>0</v>
      </c>
      <c r="AJ77" s="104" cm="1">
        <f t="array" ref="AJ77">SUMPRODUCT(('Projects Overview'!$B$2:$B$5021="Drawworks Callipers (BKB)")*('Projects Overview'!$G$2:$G$5021="Forecast")*('Projects Overview'!AS$2:AS$5021))</f>
        <v>0</v>
      </c>
      <c r="AK77" s="104" cm="1">
        <f t="array" ref="AK77">SUMPRODUCT(('Projects Overview'!$B$2:$B$5021="Drawworks Callipers (BKB)")*('Projects Overview'!$G$2:$G$5021="Forecast")*('Projects Overview'!AT$2:AT$5021))</f>
        <v>0</v>
      </c>
      <c r="AL77" s="104" cm="1">
        <f t="array" ref="AL77">SUMPRODUCT(('Projects Overview'!$B$2:$B$5021="Drawworks Callipers (BKB)")*('Projects Overview'!$G$2:$G$5021="Forecast")*('Projects Overview'!AU$2:AU$5021))</f>
        <v>0</v>
      </c>
      <c r="AM77" s="104" cm="1">
        <f t="array" ref="AM77">SUMPRODUCT(('Projects Overview'!$B$2:$B$5021="Drawworks Callipers (BKB)")*('Projects Overview'!$G$2:$G$5021="Forecast")*('Projects Overview'!AV$2:AV$5021))</f>
        <v>0</v>
      </c>
      <c r="AN77" s="9"/>
    </row>
    <row r="78" spans="1:40" x14ac:dyDescent="0.35">
      <c r="A78" s="222"/>
      <c r="B78" s="224" t="s">
        <v>393</v>
      </c>
      <c r="C78" s="1" t="s">
        <v>4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 cm="1">
        <f t="array" ref="I78">SUMPRODUCT(('Projects Overview'!$B$2:$B$5021="DAT")*('Projects Overview'!$G$2:$G$5021="Firm")*('Projects Overview'!R$2:R$5021))</f>
        <v>0</v>
      </c>
      <c r="J78" s="104" cm="1">
        <f t="array" ref="J78">SUMPRODUCT(('Projects Overview'!$B$2:$B$5021="DAT")*('Projects Overview'!$G$2:$G$5021="Firm")*('Projects Overview'!S$2:S$5021))</f>
        <v>0</v>
      </c>
      <c r="K78" s="104" cm="1">
        <f t="array" ref="K78">SUMPRODUCT(('Projects Overview'!$B$2:$B$5021="DAT")*('Projects Overview'!$G$2:$G$5021="Firm")*('Projects Overview'!T$2:T$5021))</f>
        <v>0</v>
      </c>
      <c r="L78" s="104" cm="1">
        <f t="array" ref="L78">SUMPRODUCT(('Projects Overview'!$B$2:$B$5021="DAT")*('Projects Overview'!$G$2:$G$5021="Firm")*('Projects Overview'!U$2:U$5021))</f>
        <v>0</v>
      </c>
      <c r="M78" s="104" cm="1">
        <f t="array" ref="M78">SUMPRODUCT(('Projects Overview'!$B$2:$B$5021="DAT")*('Projects Overview'!$G$2:$G$5021="Firm")*('Projects Overview'!V$2:V$5021))</f>
        <v>0</v>
      </c>
      <c r="N78" s="104" cm="1">
        <f t="array" ref="N78">SUMPRODUCT(('Projects Overview'!$B$2:$B$5021="DAT")*('Projects Overview'!$G$2:$G$5021="Firm")*('Projects Overview'!W$2:W$5021))</f>
        <v>0</v>
      </c>
      <c r="O78" s="104" cm="1">
        <f t="array" ref="O78">SUMPRODUCT(('Projects Overview'!$B$2:$B$5021="DAT")*('Projects Overview'!$G$2:$G$5021="Firm")*('Projects Overview'!X$2:X$5021))</f>
        <v>0</v>
      </c>
      <c r="P78" s="104" cm="1">
        <f t="array" ref="P78">SUMPRODUCT(('Projects Overview'!$B$2:$B$5021="DAT")*('Projects Overview'!$G$2:$G$5021="Firm")*('Projects Overview'!Y$2:Y$5021))</f>
        <v>0</v>
      </c>
      <c r="Q78" s="104" cm="1">
        <f t="array" ref="Q78">SUMPRODUCT(('Projects Overview'!$B$2:$B$5021="DAT")*('Projects Overview'!$G$2:$G$5021="Firm")*('Projects Overview'!Z$2:Z$5021))</f>
        <v>0</v>
      </c>
      <c r="R78" s="104" cm="1">
        <f t="array" ref="R78">SUMPRODUCT(('Projects Overview'!$B$2:$B$5021="DAT")*('Projects Overview'!$G$2:$G$5021="Firm")*('Projects Overview'!AA$2:AA$5021))</f>
        <v>0</v>
      </c>
      <c r="S78" s="104" cm="1">
        <f t="array" ref="S78">SUMPRODUCT(('Projects Overview'!$B$2:$B$5021="DAT")*('Projects Overview'!$G$2:$G$5021="Firm")*('Projects Overview'!AB$2:AB$5021))</f>
        <v>0</v>
      </c>
      <c r="T78" s="104" cm="1">
        <f t="array" ref="T78">SUMPRODUCT(('Projects Overview'!$B$2:$B$5021="DAT")*('Projects Overview'!$G$2:$G$5021="Firm")*('Projects Overview'!AC$2:AC$5021))</f>
        <v>0</v>
      </c>
      <c r="U78" s="104" cm="1">
        <f t="array" ref="U78">SUMPRODUCT(('Projects Overview'!$B$2:$B$5021="DAT")*('Projects Overview'!$G$2:$G$5021="Firm")*('Projects Overview'!AD$2:AD$5021))</f>
        <v>0</v>
      </c>
      <c r="V78" s="104" cm="1">
        <f t="array" ref="V78">SUMPRODUCT(('Projects Overview'!$B$2:$B$5021="DAT")*('Projects Overview'!$G$2:$G$5021="Firm")*('Projects Overview'!AE$2:AE$5021))</f>
        <v>0</v>
      </c>
      <c r="W78" s="104" cm="1">
        <f t="array" ref="W78">SUMPRODUCT(('Projects Overview'!$B$2:$B$5021="DAT")*('Projects Overview'!$G$2:$G$5021="Firm")*('Projects Overview'!AF$2:AF$5021))</f>
        <v>0</v>
      </c>
      <c r="X78" s="104" cm="1">
        <f t="array" ref="X78">SUMPRODUCT(('Projects Overview'!$B$2:$B$5021="DAT")*('Projects Overview'!$G$2:$G$5021="Firm")*('Projects Overview'!AG$2:AG$5021))</f>
        <v>0</v>
      </c>
      <c r="Y78" s="104" cm="1">
        <f t="array" ref="Y78">SUMPRODUCT(('Projects Overview'!$B$2:$B$5021="DAT")*('Projects Overview'!$G$2:$G$5021="Firm")*('Projects Overview'!AH$2:AH$5021))</f>
        <v>0</v>
      </c>
      <c r="Z78" s="104" cm="1">
        <f t="array" ref="Z78">SUMPRODUCT(('Projects Overview'!$B$2:$B$5021="DAT")*('Projects Overview'!$G$2:$G$5021="Firm")*('Projects Overview'!AI$2:AI$5021))</f>
        <v>0</v>
      </c>
      <c r="AA78" s="104" cm="1">
        <f t="array" ref="AA78">SUMPRODUCT(('Projects Overview'!$B$2:$B$5021="DAT")*('Projects Overview'!$G$2:$G$5021="Firm")*('Projects Overview'!AJ$2:AJ$5021))</f>
        <v>0</v>
      </c>
      <c r="AB78" s="104" cm="1">
        <f t="array" ref="AB78">SUMPRODUCT(('Projects Overview'!$B$2:$B$5021="DAT")*('Projects Overview'!$G$2:$G$5021="Firm")*('Projects Overview'!AK$2:AK$5021))</f>
        <v>0</v>
      </c>
      <c r="AC78" s="104" cm="1">
        <f t="array" ref="AC78">SUMPRODUCT(('Projects Overview'!$B$2:$B$5021="DAT")*('Projects Overview'!$G$2:$G$5021="Firm")*('Projects Overview'!AL$2:AL$5021))</f>
        <v>0</v>
      </c>
      <c r="AD78" s="104" cm="1">
        <f t="array" ref="AD78">SUMPRODUCT(('Projects Overview'!$B$2:$B$5021="DAT")*('Projects Overview'!$G$2:$G$5021="Firm")*('Projects Overview'!AM$2:AM$5021))</f>
        <v>0</v>
      </c>
      <c r="AE78" s="104" cm="1">
        <f t="array" ref="AE78">SUMPRODUCT(('Projects Overview'!$B$2:$B$5021="DAT")*('Projects Overview'!$G$2:$G$5021="Firm")*('Projects Overview'!AN$2:AN$5021))</f>
        <v>0</v>
      </c>
      <c r="AF78" s="104" cm="1">
        <f t="array" ref="AF78">SUMPRODUCT(('Projects Overview'!$B$2:$B$5021="DAT")*('Projects Overview'!$G$2:$G$5021="Firm")*('Projects Overview'!AO$2:AO$5021))</f>
        <v>0</v>
      </c>
      <c r="AG78" s="104" cm="1">
        <f t="array" ref="AG78">SUMPRODUCT(('Projects Overview'!$B$2:$B$5021="DAT")*('Projects Overview'!$G$2:$G$5021="Firm")*('Projects Overview'!AP$2:AP$5021))</f>
        <v>0</v>
      </c>
      <c r="AH78" s="104" cm="1">
        <f t="array" ref="AH78">SUMPRODUCT(('Projects Overview'!$B$2:$B$5021="DAT")*('Projects Overview'!$G$2:$G$5021="Firm")*('Projects Overview'!AQ$2:AQ$5021))</f>
        <v>0</v>
      </c>
      <c r="AI78" s="104" cm="1">
        <f t="array" ref="AI78">SUMPRODUCT(('Projects Overview'!$B$2:$B$5021="DAT")*('Projects Overview'!$G$2:$G$5021="Firm")*('Projects Overview'!AR$2:AR$5021))</f>
        <v>0</v>
      </c>
      <c r="AJ78" s="104" cm="1">
        <f t="array" ref="AJ78">SUMPRODUCT(('Projects Overview'!$B$2:$B$5021="DAT")*('Projects Overview'!$G$2:$G$5021="Firm")*('Projects Overview'!AS$2:AS$5021))</f>
        <v>0</v>
      </c>
      <c r="AK78" s="104" cm="1">
        <f t="array" ref="AK78">SUMPRODUCT(('Projects Overview'!$B$2:$B$5021="DAT")*('Projects Overview'!$G$2:$G$5021="Firm")*('Projects Overview'!AT$2:AT$5021))</f>
        <v>0</v>
      </c>
      <c r="AL78" s="104" cm="1">
        <f t="array" ref="AL78">SUMPRODUCT(('Projects Overview'!$B$2:$B$5021="DAT")*('Projects Overview'!$G$2:$G$5021="Firm")*('Projects Overview'!AU$2:AU$5021))</f>
        <v>0</v>
      </c>
      <c r="AM78" s="104" cm="1">
        <f t="array" ref="AM78">SUMPRODUCT(('Projects Overview'!$B$2:$B$5021="DAT")*('Projects Overview'!$G$2:$G$5021="Firm")*('Projects Overview'!AV$2:AV$5021))</f>
        <v>0</v>
      </c>
      <c r="AN78" s="9"/>
    </row>
    <row r="79" spans="1:40" x14ac:dyDescent="0.35">
      <c r="A79" s="222"/>
      <c r="B79" s="225"/>
      <c r="C79" s="2" t="s">
        <v>6</v>
      </c>
      <c r="D79" s="104">
        <v>0</v>
      </c>
      <c r="E79" s="104">
        <v>0</v>
      </c>
      <c r="F79" s="104">
        <v>0</v>
      </c>
      <c r="G79" s="104">
        <v>0</v>
      </c>
      <c r="H79" s="104">
        <v>0</v>
      </c>
      <c r="I79" s="104" cm="1">
        <f t="array" ref="I79">SUMPRODUCT(('Projects Overview'!$B$2:$B$5021="DAT")*('Projects Overview'!$G$2:$G$5021="Risk Release")*('Projects Overview'!R$2:R$5021))</f>
        <v>0</v>
      </c>
      <c r="J79" s="104" cm="1">
        <f t="array" ref="J79">SUMPRODUCT(('Projects Overview'!$B$2:$B$5021="DAT")*('Projects Overview'!$G$2:$G$5021="Risk Release")*('Projects Overview'!S$2:S$5021))</f>
        <v>0</v>
      </c>
      <c r="K79" s="104" cm="1">
        <f t="array" ref="K79">SUMPRODUCT(('Projects Overview'!$B$2:$B$5021="DAT")*('Projects Overview'!$G$2:$G$5021="Risk Release")*('Projects Overview'!T$2:T$5021))</f>
        <v>0</v>
      </c>
      <c r="L79" s="104" cm="1">
        <f t="array" ref="L79">SUMPRODUCT(('Projects Overview'!$B$2:$B$5021="DAT")*('Projects Overview'!$G$2:$G$5021="Risk Release")*('Projects Overview'!U$2:U$5021))</f>
        <v>0</v>
      </c>
      <c r="M79" s="104" cm="1">
        <f t="array" ref="M79">SUMPRODUCT(('Projects Overview'!$B$2:$B$5021="DAT")*('Projects Overview'!$G$2:$G$5021="Risk Release")*('Projects Overview'!V$2:V$5021))</f>
        <v>0</v>
      </c>
      <c r="N79" s="104" cm="1">
        <f t="array" ref="N79">SUMPRODUCT(('Projects Overview'!$B$2:$B$5021="DAT")*('Projects Overview'!$G$2:$G$5021="Risk Release")*('Projects Overview'!W$2:W$5021))</f>
        <v>0</v>
      </c>
      <c r="O79" s="104" cm="1">
        <f t="array" ref="O79">SUMPRODUCT(('Projects Overview'!$B$2:$B$5021="DAT")*('Projects Overview'!$G$2:$G$5021="Risk Release")*('Projects Overview'!X$2:X$5021))</f>
        <v>0</v>
      </c>
      <c r="P79" s="104" cm="1">
        <f t="array" ref="P79">SUMPRODUCT(('Projects Overview'!$B$2:$B$5021="DAT")*('Projects Overview'!$G$2:$G$5021="Risk Release")*('Projects Overview'!Y$2:Y$5021))</f>
        <v>0</v>
      </c>
      <c r="Q79" s="104" cm="1">
        <f t="array" ref="Q79">SUMPRODUCT(('Projects Overview'!$B$2:$B$5021="DAT")*('Projects Overview'!$G$2:$G$5021="Risk Release")*('Projects Overview'!Z$2:Z$5021))</f>
        <v>0</v>
      </c>
      <c r="R79" s="104" cm="1">
        <f t="array" ref="R79">SUMPRODUCT(('Projects Overview'!$B$2:$B$5021="DAT")*('Projects Overview'!$G$2:$G$5021="Risk Release")*('Projects Overview'!AA$2:AA$5021))</f>
        <v>0</v>
      </c>
      <c r="S79" s="104" cm="1">
        <f t="array" ref="S79">SUMPRODUCT(('Projects Overview'!$B$2:$B$5021="DAT")*('Projects Overview'!$G$2:$G$5021="Risk Release")*('Projects Overview'!AB$2:AB$5021))</f>
        <v>0</v>
      </c>
      <c r="T79" s="104" cm="1">
        <f t="array" ref="T79">SUMPRODUCT(('Projects Overview'!$B$2:$B$5021="DAT")*('Projects Overview'!$G$2:$G$5021="Risk Release")*('Projects Overview'!AC$2:AC$5021))</f>
        <v>0</v>
      </c>
      <c r="U79" s="104" cm="1">
        <f t="array" ref="U79">SUMPRODUCT(('Projects Overview'!$B$2:$B$5021="DAT")*('Projects Overview'!$G$2:$G$5021="Risk Release")*('Projects Overview'!AD$2:AD$5021))</f>
        <v>0</v>
      </c>
      <c r="V79" s="104" cm="1">
        <f t="array" ref="V79">SUMPRODUCT(('Projects Overview'!$B$2:$B$5021="DAT")*('Projects Overview'!$G$2:$G$5021="Risk Release")*('Projects Overview'!AE$2:AE$5021))</f>
        <v>0</v>
      </c>
      <c r="W79" s="104" cm="1">
        <f t="array" ref="W79">SUMPRODUCT(('Projects Overview'!$B$2:$B$5021="DAT")*('Projects Overview'!$G$2:$G$5021="Risk Release")*('Projects Overview'!AF$2:AF$5021))</f>
        <v>0</v>
      </c>
      <c r="X79" s="104" cm="1">
        <f t="array" ref="X79">SUMPRODUCT(('Projects Overview'!$B$2:$B$5021="DAT")*('Projects Overview'!$G$2:$G$5021="Risk Release")*('Projects Overview'!AG$2:AG$5021))</f>
        <v>0</v>
      </c>
      <c r="Y79" s="104" cm="1">
        <f t="array" ref="Y79">SUMPRODUCT(('Projects Overview'!$B$2:$B$5021="DAT")*('Projects Overview'!$G$2:$G$5021="Risk Release")*('Projects Overview'!AH$2:AH$5021))</f>
        <v>0</v>
      </c>
      <c r="Z79" s="104" cm="1">
        <f t="array" ref="Z79">SUMPRODUCT(('Projects Overview'!$B$2:$B$5021="DAT")*('Projects Overview'!$G$2:$G$5021="Risk Release")*('Projects Overview'!AI$2:AI$5021))</f>
        <v>0</v>
      </c>
      <c r="AA79" s="104" cm="1">
        <f t="array" ref="AA79">SUMPRODUCT(('Projects Overview'!$B$2:$B$5021="DAT")*('Projects Overview'!$G$2:$G$5021="Risk Release")*('Projects Overview'!AJ$2:AJ$5021))</f>
        <v>0</v>
      </c>
      <c r="AB79" s="104" cm="1">
        <f t="array" ref="AB79">SUMPRODUCT(('Projects Overview'!$B$2:$B$5021="DAT")*('Projects Overview'!$G$2:$G$5021="Risk Release")*('Projects Overview'!AK$2:AK$5021))</f>
        <v>0</v>
      </c>
      <c r="AC79" s="104" cm="1">
        <f t="array" ref="AC79">SUMPRODUCT(('Projects Overview'!$B$2:$B$5021="DAT")*('Projects Overview'!$G$2:$G$5021="Risk Release")*('Projects Overview'!AL$2:AL$5021))</f>
        <v>0</v>
      </c>
      <c r="AD79" s="104" cm="1">
        <f t="array" ref="AD79">SUMPRODUCT(('Projects Overview'!$B$2:$B$5021="DAT")*('Projects Overview'!$G$2:$G$5021="Risk Release")*('Projects Overview'!AM$2:AM$5021))</f>
        <v>0</v>
      </c>
      <c r="AE79" s="104" cm="1">
        <f t="array" ref="AE79">SUMPRODUCT(('Projects Overview'!$B$2:$B$5021="DAT")*('Projects Overview'!$G$2:$G$5021="Risk Release")*('Projects Overview'!AN$2:AN$5021))</f>
        <v>0</v>
      </c>
      <c r="AF79" s="104" cm="1">
        <f t="array" ref="AF79">SUMPRODUCT(('Projects Overview'!$B$2:$B$5021="DAT")*('Projects Overview'!$G$2:$G$5021="Risk Release")*('Projects Overview'!AO$2:AO$5021))</f>
        <v>0</v>
      </c>
      <c r="AG79" s="104" cm="1">
        <f t="array" ref="AG79">SUMPRODUCT(('Projects Overview'!$B$2:$B$5021="DAT")*('Projects Overview'!$G$2:$G$5021="Risk Release")*('Projects Overview'!AP$2:AP$5021))</f>
        <v>0</v>
      </c>
      <c r="AH79" s="104" cm="1">
        <f t="array" ref="AH79">SUMPRODUCT(('Projects Overview'!$B$2:$B$5021="DAT")*('Projects Overview'!$G$2:$G$5021="Risk Release")*('Projects Overview'!AQ$2:AQ$5021))</f>
        <v>0</v>
      </c>
      <c r="AI79" s="104" cm="1">
        <f t="array" ref="AI79">SUMPRODUCT(('Projects Overview'!$B$2:$B$5021="DAT")*('Projects Overview'!$G$2:$G$5021="Risk Release")*('Projects Overview'!AR$2:AR$5021))</f>
        <v>0</v>
      </c>
      <c r="AJ79" s="104" cm="1">
        <f t="array" ref="AJ79">SUMPRODUCT(('Projects Overview'!$B$2:$B$5021="DAT")*('Projects Overview'!$G$2:$G$5021="Risk Release")*('Projects Overview'!AS$2:AS$5021))</f>
        <v>0</v>
      </c>
      <c r="AK79" s="104" cm="1">
        <f t="array" ref="AK79">SUMPRODUCT(('Projects Overview'!$B$2:$B$5021="DAT")*('Projects Overview'!$G$2:$G$5021="Risk Release")*('Projects Overview'!AT$2:AT$5021))</f>
        <v>0</v>
      </c>
      <c r="AL79" s="104" cm="1">
        <f t="array" ref="AL79">SUMPRODUCT(('Projects Overview'!$B$2:$B$5021="DAT")*('Projects Overview'!$G$2:$G$5021="Risk Release")*('Projects Overview'!AU$2:AU$5021))</f>
        <v>0</v>
      </c>
      <c r="AM79" s="104" cm="1">
        <f t="array" ref="AM79">SUMPRODUCT(('Projects Overview'!$B$2:$B$5021="DAT")*('Projects Overview'!$G$2:$G$5021="Risk Release")*('Projects Overview'!AV$2:AV$5021))</f>
        <v>0</v>
      </c>
      <c r="AN79" s="9"/>
    </row>
    <row r="80" spans="1:40" ht="15" thickBot="1" x14ac:dyDescent="0.4">
      <c r="A80" s="223"/>
      <c r="B80" s="225"/>
      <c r="C80" s="3" t="s">
        <v>8</v>
      </c>
      <c r="D80" s="104">
        <v>0</v>
      </c>
      <c r="E80" s="104">
        <v>0</v>
      </c>
      <c r="F80" s="104">
        <v>0</v>
      </c>
      <c r="G80" s="104">
        <v>0</v>
      </c>
      <c r="H80" s="104">
        <v>0</v>
      </c>
      <c r="I80" s="104" cm="1">
        <f t="array" ref="I80">SUMPRODUCT(('Projects Overview'!$B$2:$B$5021="DAT")*('Projects Overview'!$G$2:$G$5021="Forecast")*('Projects Overview'!R$2:R$5021))</f>
        <v>0</v>
      </c>
      <c r="J80" s="104" cm="1">
        <f t="array" ref="J80">SUMPRODUCT(('Projects Overview'!$B$2:$B$5021="DAT")*('Projects Overview'!$G$2:$G$5021="Forecast")*('Projects Overview'!S$2:S$5021))</f>
        <v>0</v>
      </c>
      <c r="K80" s="104" cm="1">
        <f t="array" ref="K80">SUMPRODUCT(('Projects Overview'!$B$2:$B$5021="DAT")*('Projects Overview'!$G$2:$G$5021="Forecast")*('Projects Overview'!T$2:T$5021))</f>
        <v>0</v>
      </c>
      <c r="L80" s="104" cm="1">
        <f t="array" ref="L80">SUMPRODUCT(('Projects Overview'!$B$2:$B$5021="DAT")*('Projects Overview'!$G$2:$G$5021="Forecast")*('Projects Overview'!U$2:U$5021))</f>
        <v>0</v>
      </c>
      <c r="M80" s="104" cm="1">
        <f t="array" ref="M80">SUMPRODUCT(('Projects Overview'!$B$2:$B$5021="DAT")*('Projects Overview'!$G$2:$G$5021="Forecast")*('Projects Overview'!V$2:V$5021))</f>
        <v>0</v>
      </c>
      <c r="N80" s="104" cm="1">
        <f t="array" ref="N80">SUMPRODUCT(('Projects Overview'!$B$2:$B$5021="DAT")*('Projects Overview'!$G$2:$G$5021="Forecast")*('Projects Overview'!W$2:W$5021))</f>
        <v>0</v>
      </c>
      <c r="O80" s="104" cm="1">
        <f t="array" ref="O80">SUMPRODUCT(('Projects Overview'!$B$2:$B$5021="DAT")*('Projects Overview'!$G$2:$G$5021="Forecast")*('Projects Overview'!X$2:X$5021))</f>
        <v>0</v>
      </c>
      <c r="P80" s="104" cm="1">
        <f t="array" ref="P80">SUMPRODUCT(('Projects Overview'!$B$2:$B$5021="DAT")*('Projects Overview'!$G$2:$G$5021="Forecast")*('Projects Overview'!Y$2:Y$5021))</f>
        <v>0</v>
      </c>
      <c r="Q80" s="104" cm="1">
        <f t="array" ref="Q80">SUMPRODUCT(('Projects Overview'!$B$2:$B$5021="DAT")*('Projects Overview'!$G$2:$G$5021="Forecast")*('Projects Overview'!Z$2:Z$5021))</f>
        <v>0</v>
      </c>
      <c r="R80" s="104" cm="1">
        <f t="array" ref="R80">SUMPRODUCT(('Projects Overview'!$B$2:$B$5021="DAT")*('Projects Overview'!$G$2:$G$5021="Forecast")*('Projects Overview'!AA$2:AA$5021))</f>
        <v>98</v>
      </c>
      <c r="S80" s="104" cm="1">
        <f t="array" ref="S80">SUMPRODUCT(('Projects Overview'!$B$2:$B$5021="DAT")*('Projects Overview'!$G$2:$G$5021="Forecast")*('Projects Overview'!AB$2:AB$5021))</f>
        <v>0</v>
      </c>
      <c r="T80" s="104" cm="1">
        <f t="array" ref="T80">SUMPRODUCT(('Projects Overview'!$B$2:$B$5021="DAT")*('Projects Overview'!$G$2:$G$5021="Forecast")*('Projects Overview'!AC$2:AC$5021))</f>
        <v>0</v>
      </c>
      <c r="U80" s="104" cm="1">
        <f t="array" ref="U80">SUMPRODUCT(('Projects Overview'!$B$2:$B$5021="DAT")*('Projects Overview'!$G$2:$G$5021="Forecast")*('Projects Overview'!AD$2:AD$5021))</f>
        <v>0</v>
      </c>
      <c r="V80" s="104" cm="1">
        <f t="array" ref="V80">SUMPRODUCT(('Projects Overview'!$B$2:$B$5021="DAT")*('Projects Overview'!$G$2:$G$5021="Forecast")*('Projects Overview'!AE$2:AE$5021))</f>
        <v>0</v>
      </c>
      <c r="W80" s="104" cm="1">
        <f t="array" ref="W80">SUMPRODUCT(('Projects Overview'!$B$2:$B$5021="DAT")*('Projects Overview'!$G$2:$G$5021="Forecast")*('Projects Overview'!AF$2:AF$5021))</f>
        <v>0</v>
      </c>
      <c r="X80" s="104" cm="1">
        <f t="array" ref="X80">SUMPRODUCT(('Projects Overview'!$B$2:$B$5021="DAT")*('Projects Overview'!$G$2:$G$5021="Forecast")*('Projects Overview'!AG$2:AG$5021))</f>
        <v>0</v>
      </c>
      <c r="Y80" s="104" cm="1">
        <f t="array" ref="Y80">SUMPRODUCT(('Projects Overview'!$B$2:$B$5021="DAT")*('Projects Overview'!$G$2:$G$5021="Forecast")*('Projects Overview'!AH$2:AH$5021))</f>
        <v>0</v>
      </c>
      <c r="Z80" s="104" cm="1">
        <f t="array" ref="Z80">SUMPRODUCT(('Projects Overview'!$B$2:$B$5021="DAT")*('Projects Overview'!$G$2:$G$5021="Forecast")*('Projects Overview'!AI$2:AI$5021))</f>
        <v>0</v>
      </c>
      <c r="AA80" s="104" cm="1">
        <f t="array" ref="AA80">SUMPRODUCT(('Projects Overview'!$B$2:$B$5021="DAT")*('Projects Overview'!$G$2:$G$5021="Forecast")*('Projects Overview'!AJ$2:AJ$5021))</f>
        <v>0</v>
      </c>
      <c r="AB80" s="104" cm="1">
        <f t="array" ref="AB80">SUMPRODUCT(('Projects Overview'!$B$2:$B$5021="DAT")*('Projects Overview'!$G$2:$G$5021="Forecast")*('Projects Overview'!AK$2:AK$5021))</f>
        <v>0</v>
      </c>
      <c r="AC80" s="104" cm="1">
        <f t="array" ref="AC80">SUMPRODUCT(('Projects Overview'!$B$2:$B$5021="DAT")*('Projects Overview'!$G$2:$G$5021="Forecast")*('Projects Overview'!AL$2:AL$5021))</f>
        <v>0</v>
      </c>
      <c r="AD80" s="104" cm="1">
        <f t="array" ref="AD80">SUMPRODUCT(('Projects Overview'!$B$2:$B$5021="DAT")*('Projects Overview'!$G$2:$G$5021="Forecast")*('Projects Overview'!AM$2:AM$5021))</f>
        <v>0</v>
      </c>
      <c r="AE80" s="104" cm="1">
        <f t="array" ref="AE80">SUMPRODUCT(('Projects Overview'!$B$2:$B$5021="DAT")*('Projects Overview'!$G$2:$G$5021="Forecast")*('Projects Overview'!AN$2:AN$5021))</f>
        <v>0</v>
      </c>
      <c r="AF80" s="104" cm="1">
        <f t="array" ref="AF80">SUMPRODUCT(('Projects Overview'!$B$2:$B$5021="DAT")*('Projects Overview'!$G$2:$G$5021="Forecast")*('Projects Overview'!AO$2:AO$5021))</f>
        <v>0</v>
      </c>
      <c r="AG80" s="104" cm="1">
        <f t="array" ref="AG80">SUMPRODUCT(('Projects Overview'!$B$2:$B$5021="DAT")*('Projects Overview'!$G$2:$G$5021="Forecast")*('Projects Overview'!AP$2:AP$5021))</f>
        <v>0</v>
      </c>
      <c r="AH80" s="104" cm="1">
        <f t="array" ref="AH80">SUMPRODUCT(('Projects Overview'!$B$2:$B$5021="DAT")*('Projects Overview'!$G$2:$G$5021="Forecast")*('Projects Overview'!AQ$2:AQ$5021))</f>
        <v>0</v>
      </c>
      <c r="AI80" s="104" cm="1">
        <f t="array" ref="AI80">SUMPRODUCT(('Projects Overview'!$B$2:$B$5021="DAT")*('Projects Overview'!$G$2:$G$5021="Forecast")*('Projects Overview'!AR$2:AR$5021))</f>
        <v>0</v>
      </c>
      <c r="AJ80" s="104" cm="1">
        <f t="array" ref="AJ80">SUMPRODUCT(('Projects Overview'!$B$2:$B$5021="DAT")*('Projects Overview'!$G$2:$G$5021="Forecast")*('Projects Overview'!AS$2:AS$5021))</f>
        <v>0</v>
      </c>
      <c r="AK80" s="104" cm="1">
        <f t="array" ref="AK80">SUMPRODUCT(('Projects Overview'!$B$2:$B$5021="DAT")*('Projects Overview'!$G$2:$G$5021="Forecast")*('Projects Overview'!AT$2:AT$5021))</f>
        <v>0</v>
      </c>
      <c r="AL80" s="104" cm="1">
        <f t="array" ref="AL80">SUMPRODUCT(('Projects Overview'!$B$2:$B$5021="DAT")*('Projects Overview'!$G$2:$G$5021="Forecast")*('Projects Overview'!AU$2:AU$5021))</f>
        <v>0</v>
      </c>
      <c r="AM80" s="104" cm="1">
        <f t="array" ref="AM80">SUMPRODUCT(('Projects Overview'!$B$2:$B$5021="DAT")*('Projects Overview'!$G$2:$G$5021="Forecast")*('Projects Overview'!AV$2:AV$5021))</f>
        <v>0</v>
      </c>
      <c r="AN80" s="9"/>
    </row>
    <row r="81" spans="1:40" ht="14.5" customHeight="1" x14ac:dyDescent="0.35">
      <c r="A81" s="218" t="s">
        <v>92</v>
      </c>
      <c r="B81" s="229" t="s">
        <v>92</v>
      </c>
      <c r="C81" s="1" t="s">
        <v>4</v>
      </c>
      <c r="D81" s="104">
        <v>440</v>
      </c>
      <c r="E81" s="104">
        <v>440</v>
      </c>
      <c r="F81" s="104">
        <v>440</v>
      </c>
      <c r="G81" s="104">
        <v>880</v>
      </c>
      <c r="H81" s="104">
        <v>880</v>
      </c>
      <c r="I81" s="104" cm="1">
        <f t="array" ref="I81">SUMPRODUCT(('Projects Overview'!$B$2:$B$5021="Offshore")*('Projects Overview'!$G$2:$G$5021="Firm")*('Projects Overview'!R$2:R$5021))</f>
        <v>440</v>
      </c>
      <c r="J81" s="104" cm="1">
        <f t="array" ref="J81">SUMPRODUCT(('Projects Overview'!$B$2:$B$5021="Offshore")*('Projects Overview'!$G$2:$G$5021="Firm")*('Projects Overview'!S$2:S$5021))</f>
        <v>330</v>
      </c>
      <c r="K81" s="104" cm="1">
        <f t="array" ref="K81">SUMPRODUCT(('Projects Overview'!$B$2:$B$5021="Offshore")*('Projects Overview'!$G$2:$G$5021="Firm")*('Projects Overview'!T$2:T$5021))</f>
        <v>770</v>
      </c>
      <c r="L81" s="104" cm="1">
        <f t="array" ref="L81">SUMPRODUCT(('Projects Overview'!$B$2:$B$5021="Offshore")*('Projects Overview'!$G$2:$G$5021="Firm")*('Projects Overview'!U$2:U$5021))</f>
        <v>440</v>
      </c>
      <c r="M81" s="104" cm="1">
        <f t="array" ref="M81">SUMPRODUCT(('Projects Overview'!$B$2:$B$5021="Offshore")*('Projects Overview'!$G$2:$G$5021="Firm")*('Projects Overview'!V$2:V$5021))</f>
        <v>660</v>
      </c>
      <c r="N81" s="104" cm="1">
        <f t="array" ref="N81">SUMPRODUCT(('Projects Overview'!$B$2:$B$5021="Offshore")*('Projects Overview'!$G$2:$G$5021="Firm")*('Projects Overview'!W$2:W$5021))</f>
        <v>330</v>
      </c>
      <c r="O81" s="104" cm="1">
        <f t="array" ref="O81">SUMPRODUCT(('Projects Overview'!$B$2:$B$5021="Offshore")*('Projects Overview'!$G$2:$G$5021="Firm")*('Projects Overview'!X$2:X$5021))</f>
        <v>220</v>
      </c>
      <c r="P81" s="104" cm="1">
        <f t="array" ref="P81">SUMPRODUCT(('Projects Overview'!$B$2:$B$5021="Offshore")*('Projects Overview'!$G$2:$G$5021="Firm")*('Projects Overview'!Y$2:Y$5021))</f>
        <v>440</v>
      </c>
      <c r="Q81" s="104" cm="1">
        <f t="array" ref="Q81">SUMPRODUCT(('Projects Overview'!$B$2:$B$5021="Offshore")*('Projects Overview'!$G$2:$G$5021="Firm")*('Projects Overview'!Z$2:Z$5021))</f>
        <v>440</v>
      </c>
      <c r="R81" s="104" cm="1">
        <f t="array" ref="R81">SUMPRODUCT(('Projects Overview'!$B$2:$B$5021="Offshore")*('Projects Overview'!$G$2:$G$5021="Firm")*('Projects Overview'!AA$2:AA$5021))</f>
        <v>0</v>
      </c>
      <c r="S81" s="104" cm="1">
        <f t="array" ref="S81">SUMPRODUCT(('Projects Overview'!$B$2:$B$5021="Offshore")*('Projects Overview'!$G$2:$G$5021="Firm")*('Projects Overview'!AB$2:AB$5021))</f>
        <v>0</v>
      </c>
      <c r="T81" s="104" cm="1">
        <f t="array" ref="T81">SUMPRODUCT(('Projects Overview'!$B$2:$B$5021="Offshore")*('Projects Overview'!$G$2:$G$5021="Firm")*('Projects Overview'!AC$2:AC$5021))</f>
        <v>0</v>
      </c>
      <c r="U81" s="104" cm="1">
        <f t="array" ref="U81">SUMPRODUCT(('Projects Overview'!$B$2:$B$5021="Offshore")*('Projects Overview'!$G$2:$G$5021="Firm")*('Projects Overview'!AD$2:AD$5021))</f>
        <v>0</v>
      </c>
      <c r="V81" s="104" cm="1">
        <f t="array" ref="V81">SUMPRODUCT(('Projects Overview'!$B$2:$B$5021="Offshore")*('Projects Overview'!$G$2:$G$5021="Firm")*('Projects Overview'!AE$2:AE$5021))</f>
        <v>0</v>
      </c>
      <c r="W81" s="104" cm="1">
        <f t="array" ref="W81">SUMPRODUCT(('Projects Overview'!$B$2:$B$5021="Offshore")*('Projects Overview'!$G$2:$G$5021="Firm")*('Projects Overview'!AF$2:AF$5021))</f>
        <v>0</v>
      </c>
      <c r="X81" s="104" cm="1">
        <f t="array" ref="X81">SUMPRODUCT(('Projects Overview'!$B$2:$B$5021="Offshore")*('Projects Overview'!$G$2:$G$5021="Firm")*('Projects Overview'!AG$2:AG$5021))</f>
        <v>0</v>
      </c>
      <c r="Y81" s="104" cm="1">
        <f t="array" ref="Y81">SUMPRODUCT(('Projects Overview'!$B$2:$B$5021="Offshore")*('Projects Overview'!$G$2:$G$5021="Firm")*('Projects Overview'!AH$2:AH$5021))</f>
        <v>0</v>
      </c>
      <c r="Z81" s="104" cm="1">
        <f t="array" ref="Z81">SUMPRODUCT(('Projects Overview'!$B$2:$B$5021="Offshore")*('Projects Overview'!$G$2:$G$5021="Firm")*('Projects Overview'!AI$2:AI$5021))</f>
        <v>0</v>
      </c>
      <c r="AA81" s="104" cm="1">
        <f t="array" ref="AA81">SUMPRODUCT(('Projects Overview'!$B$2:$B$5021="Offshore")*('Projects Overview'!$G$2:$G$5021="Firm")*('Projects Overview'!AJ$2:AJ$5021))</f>
        <v>0</v>
      </c>
      <c r="AB81" s="104" cm="1">
        <f t="array" ref="AB81">SUMPRODUCT(('Projects Overview'!$B$2:$B$5021="Offshore")*('Projects Overview'!$G$2:$G$5021="Firm")*('Projects Overview'!AK$2:AK$5021))</f>
        <v>0</v>
      </c>
      <c r="AC81" s="104" cm="1">
        <f t="array" ref="AC81">SUMPRODUCT(('Projects Overview'!$B$2:$B$5021="Offshore")*('Projects Overview'!$G$2:$G$5021="Firm")*('Projects Overview'!AL$2:AL$5021))</f>
        <v>0</v>
      </c>
      <c r="AD81" s="104" cm="1">
        <f t="array" ref="AD81">SUMPRODUCT(('Projects Overview'!$B$2:$B$5021="Offshore")*('Projects Overview'!$G$2:$G$5021="Firm")*('Projects Overview'!AM$2:AM$5021))</f>
        <v>0</v>
      </c>
      <c r="AE81" s="104" cm="1">
        <f t="array" ref="AE81">SUMPRODUCT(('Projects Overview'!$B$2:$B$5021="Offshore")*('Projects Overview'!$G$2:$G$5021="Firm")*('Projects Overview'!AN$2:AN$5021))</f>
        <v>0</v>
      </c>
      <c r="AF81" s="104" cm="1">
        <f t="array" ref="AF81">SUMPRODUCT(('Projects Overview'!$B$2:$B$5021="Offshore")*('Projects Overview'!$G$2:$G$5021="Firm")*('Projects Overview'!AO$2:AO$5021))</f>
        <v>0</v>
      </c>
      <c r="AG81" s="104" cm="1">
        <f t="array" ref="AG81">SUMPRODUCT(('Projects Overview'!$B$2:$B$5021="Offshore")*('Projects Overview'!$G$2:$G$5021="Firm")*('Projects Overview'!AP$2:AP$5021))</f>
        <v>0</v>
      </c>
      <c r="AH81" s="104" cm="1">
        <f t="array" ref="AH81">SUMPRODUCT(('Projects Overview'!$B$2:$B$5021="Offshore")*('Projects Overview'!$G$2:$G$5021="Firm")*('Projects Overview'!AQ$2:AQ$5021))</f>
        <v>0</v>
      </c>
      <c r="AI81" s="104" cm="1">
        <f t="array" ref="AI81">SUMPRODUCT(('Projects Overview'!$B$2:$B$5021="Offshore")*('Projects Overview'!$G$2:$G$5021="Firm")*('Projects Overview'!AR$2:AR$5021))</f>
        <v>0</v>
      </c>
      <c r="AJ81" s="104" cm="1">
        <f t="array" ref="AJ81">SUMPRODUCT(('Projects Overview'!$B$2:$B$5021="Offshore")*('Projects Overview'!$G$2:$G$5021="Firm")*('Projects Overview'!AS$2:AS$5021))</f>
        <v>0</v>
      </c>
      <c r="AK81" s="104" cm="1">
        <f t="array" ref="AK81">SUMPRODUCT(('Projects Overview'!$B$2:$B$5021="Offshore")*('Projects Overview'!$G$2:$G$5021="Firm")*('Projects Overview'!AT$2:AT$5021))</f>
        <v>0</v>
      </c>
      <c r="AL81" s="104" cm="1">
        <f t="array" ref="AL81">SUMPRODUCT(('Projects Overview'!$B$2:$B$5021="Offshore")*('Projects Overview'!$G$2:$G$5021="Firm")*('Projects Overview'!AU$2:AU$5021))</f>
        <v>0</v>
      </c>
      <c r="AM81" s="104" cm="1">
        <f t="array" ref="AM81">SUMPRODUCT(('Projects Overview'!$B$2:$B$5021="Offshore")*('Projects Overview'!$G$2:$G$5021="Firm")*('Projects Overview'!AV$2:AV$5021))</f>
        <v>0</v>
      </c>
      <c r="AN81" s="9"/>
    </row>
    <row r="82" spans="1:40" x14ac:dyDescent="0.35">
      <c r="A82" s="219"/>
      <c r="B82" s="229"/>
      <c r="C82" s="2" t="s">
        <v>6</v>
      </c>
      <c r="D82" s="104">
        <v>0</v>
      </c>
      <c r="E82" s="104">
        <v>0</v>
      </c>
      <c r="F82" s="104">
        <v>0</v>
      </c>
      <c r="G82" s="104">
        <v>0</v>
      </c>
      <c r="H82" s="104">
        <v>0</v>
      </c>
      <c r="I82" s="104" cm="1">
        <f t="array" ref="I82">SUMPRODUCT(('Projects Overview'!$B$2:$B$5021="Offshore")*('Projects Overview'!$G$2:$G$5021="Risk Release")*('Projects Overview'!R$2:R$5021))</f>
        <v>0</v>
      </c>
      <c r="J82" s="104" cm="1">
        <f t="array" ref="J82">SUMPRODUCT(('Projects Overview'!$B$2:$B$5021="Offshore")*('Projects Overview'!$G$2:$G$5021="Risk Release")*('Projects Overview'!S$2:S$5021))</f>
        <v>0</v>
      </c>
      <c r="K82" s="104" cm="1">
        <f t="array" ref="K82">SUMPRODUCT(('Projects Overview'!$B$2:$B$5021="Offshore")*('Projects Overview'!$G$2:$G$5021="Risk Release")*('Projects Overview'!T$2:T$5021))</f>
        <v>0</v>
      </c>
      <c r="L82" s="104" cm="1">
        <f t="array" ref="L82">SUMPRODUCT(('Projects Overview'!$B$2:$B$5021="Offshore")*('Projects Overview'!$G$2:$G$5021="Risk Release")*('Projects Overview'!U$2:U$5021))</f>
        <v>0</v>
      </c>
      <c r="M82" s="104" cm="1">
        <f t="array" ref="M82">SUMPRODUCT(('Projects Overview'!$B$2:$B$5021="Offshore")*('Projects Overview'!$G$2:$G$5021="Risk Release")*('Projects Overview'!V$2:V$5021))</f>
        <v>0</v>
      </c>
      <c r="N82" s="104" cm="1">
        <f t="array" ref="N82">SUMPRODUCT(('Projects Overview'!$B$2:$B$5021="Offshore")*('Projects Overview'!$G$2:$G$5021="Risk Release")*('Projects Overview'!W$2:W$5021))</f>
        <v>0</v>
      </c>
      <c r="O82" s="104" cm="1">
        <f t="array" ref="O82">SUMPRODUCT(('Projects Overview'!$B$2:$B$5021="Offshore")*('Projects Overview'!$G$2:$G$5021="Risk Release")*('Projects Overview'!X$2:X$5021))</f>
        <v>0</v>
      </c>
      <c r="P82" s="104" cm="1">
        <f t="array" ref="P82">SUMPRODUCT(('Projects Overview'!$B$2:$B$5021="Offshore")*('Projects Overview'!$G$2:$G$5021="Risk Release")*('Projects Overview'!Y$2:Y$5021))</f>
        <v>0</v>
      </c>
      <c r="Q82" s="104" cm="1">
        <f t="array" ref="Q82">SUMPRODUCT(('Projects Overview'!$B$2:$B$5021="Offshore")*('Projects Overview'!$G$2:$G$5021="Risk Release")*('Projects Overview'!Z$2:Z$5021))</f>
        <v>0</v>
      </c>
      <c r="R82" s="104" cm="1">
        <f t="array" ref="R82">SUMPRODUCT(('Projects Overview'!$B$2:$B$5021="Offshore")*('Projects Overview'!$G$2:$G$5021="Risk Release")*('Projects Overview'!AA$2:AA$5021))</f>
        <v>0</v>
      </c>
      <c r="S82" s="104" cm="1">
        <f t="array" ref="S82">SUMPRODUCT(('Projects Overview'!$B$2:$B$5021="Offshore")*('Projects Overview'!$G$2:$G$5021="Risk Release")*('Projects Overview'!AB$2:AB$5021))</f>
        <v>0</v>
      </c>
      <c r="T82" s="104" cm="1">
        <f t="array" ref="T82">SUMPRODUCT(('Projects Overview'!$B$2:$B$5021="Offshore")*('Projects Overview'!$G$2:$G$5021="Risk Release")*('Projects Overview'!AC$2:AC$5021))</f>
        <v>0</v>
      </c>
      <c r="U82" s="104" cm="1">
        <f t="array" ref="U82">SUMPRODUCT(('Projects Overview'!$B$2:$B$5021="Offshore")*('Projects Overview'!$G$2:$G$5021="Risk Release")*('Projects Overview'!AD$2:AD$5021))</f>
        <v>0</v>
      </c>
      <c r="V82" s="104" cm="1">
        <f t="array" ref="V82">SUMPRODUCT(('Projects Overview'!$B$2:$B$5021="Offshore")*('Projects Overview'!$G$2:$G$5021="Risk Release")*('Projects Overview'!AE$2:AE$5021))</f>
        <v>0</v>
      </c>
      <c r="W82" s="104" cm="1">
        <f t="array" ref="W82">SUMPRODUCT(('Projects Overview'!$B$2:$B$5021="Offshore")*('Projects Overview'!$G$2:$G$5021="Risk Release")*('Projects Overview'!AF$2:AF$5021))</f>
        <v>0</v>
      </c>
      <c r="X82" s="104" cm="1">
        <f t="array" ref="X82">SUMPRODUCT(('Projects Overview'!$B$2:$B$5021="Offshore")*('Projects Overview'!$G$2:$G$5021="Risk Release")*('Projects Overview'!AG$2:AG$5021))</f>
        <v>0</v>
      </c>
      <c r="Y82" s="104" cm="1">
        <f t="array" ref="Y82">SUMPRODUCT(('Projects Overview'!$B$2:$B$5021="Offshore")*('Projects Overview'!$G$2:$G$5021="Risk Release")*('Projects Overview'!AH$2:AH$5021))</f>
        <v>0</v>
      </c>
      <c r="Z82" s="104" cm="1">
        <f t="array" ref="Z82">SUMPRODUCT(('Projects Overview'!$B$2:$B$5021="Offshore")*('Projects Overview'!$G$2:$G$5021="Risk Release")*('Projects Overview'!AI$2:AI$5021))</f>
        <v>0</v>
      </c>
      <c r="AA82" s="104" cm="1">
        <f t="array" ref="AA82">SUMPRODUCT(('Projects Overview'!$B$2:$B$5021="Offshore")*('Projects Overview'!$G$2:$G$5021="Risk Release")*('Projects Overview'!AJ$2:AJ$5021))</f>
        <v>0</v>
      </c>
      <c r="AB82" s="104" cm="1">
        <f t="array" ref="AB82">SUMPRODUCT(('Projects Overview'!$B$2:$B$5021="Offshore")*('Projects Overview'!$G$2:$G$5021="Risk Release")*('Projects Overview'!AK$2:AK$5021))</f>
        <v>0</v>
      </c>
      <c r="AC82" s="104" cm="1">
        <f t="array" ref="AC82">SUMPRODUCT(('Projects Overview'!$B$2:$B$5021="Offshore")*('Projects Overview'!$G$2:$G$5021="Risk Release")*('Projects Overview'!AL$2:AL$5021))</f>
        <v>0</v>
      </c>
      <c r="AD82" s="104" cm="1">
        <f t="array" ref="AD82">SUMPRODUCT(('Projects Overview'!$B$2:$B$5021="Offshore")*('Projects Overview'!$G$2:$G$5021="Risk Release")*('Projects Overview'!AM$2:AM$5021))</f>
        <v>0</v>
      </c>
      <c r="AE82" s="104" cm="1">
        <f t="array" ref="AE82">SUMPRODUCT(('Projects Overview'!$B$2:$B$5021="Offshore")*('Projects Overview'!$G$2:$G$5021="Risk Release")*('Projects Overview'!AN$2:AN$5021))</f>
        <v>0</v>
      </c>
      <c r="AF82" s="104" cm="1">
        <f t="array" ref="AF82">SUMPRODUCT(('Projects Overview'!$B$2:$B$5021="Offshore")*('Projects Overview'!$G$2:$G$5021="Risk Release")*('Projects Overview'!AO$2:AO$5021))</f>
        <v>0</v>
      </c>
      <c r="AG82" s="104" cm="1">
        <f t="array" ref="AG82">SUMPRODUCT(('Projects Overview'!$B$2:$B$5021="Offshore")*('Projects Overview'!$G$2:$G$5021="Risk Release")*('Projects Overview'!AP$2:AP$5021))</f>
        <v>0</v>
      </c>
      <c r="AH82" s="104" cm="1">
        <f t="array" ref="AH82">SUMPRODUCT(('Projects Overview'!$B$2:$B$5021="Offshore")*('Projects Overview'!$G$2:$G$5021="Risk Release")*('Projects Overview'!AQ$2:AQ$5021))</f>
        <v>0</v>
      </c>
      <c r="AI82" s="104" cm="1">
        <f t="array" ref="AI82">SUMPRODUCT(('Projects Overview'!$B$2:$B$5021="Offshore")*('Projects Overview'!$G$2:$G$5021="Risk Release")*('Projects Overview'!AR$2:AR$5021))</f>
        <v>0</v>
      </c>
      <c r="AJ82" s="104" cm="1">
        <f t="array" ref="AJ82">SUMPRODUCT(('Projects Overview'!$B$2:$B$5021="Offshore")*('Projects Overview'!$G$2:$G$5021="Risk Release")*('Projects Overview'!AS$2:AS$5021))</f>
        <v>0</v>
      </c>
      <c r="AK82" s="104" cm="1">
        <f t="array" ref="AK82">SUMPRODUCT(('Projects Overview'!$B$2:$B$5021="Offshore")*('Projects Overview'!$G$2:$G$5021="Risk Release")*('Projects Overview'!AT$2:AT$5021))</f>
        <v>0</v>
      </c>
      <c r="AL82" s="104" cm="1">
        <f t="array" ref="AL82">SUMPRODUCT(('Projects Overview'!$B$2:$B$5021="Offshore")*('Projects Overview'!$G$2:$G$5021="Risk Release")*('Projects Overview'!AU$2:AU$5021))</f>
        <v>0</v>
      </c>
      <c r="AM82" s="104" cm="1">
        <f t="array" ref="AM82">SUMPRODUCT(('Projects Overview'!$B$2:$B$5021="Offshore")*('Projects Overview'!$G$2:$G$5021="Risk Release")*('Projects Overview'!AV$2:AV$5021))</f>
        <v>0</v>
      </c>
      <c r="AN82" s="9"/>
    </row>
    <row r="83" spans="1:40" ht="15" thickBot="1" x14ac:dyDescent="0.4">
      <c r="A83" s="220"/>
      <c r="B83" s="229"/>
      <c r="C83" s="3" t="s">
        <v>8</v>
      </c>
      <c r="D83" s="104">
        <v>0</v>
      </c>
      <c r="E83" s="104">
        <v>0</v>
      </c>
      <c r="F83" s="104">
        <v>0</v>
      </c>
      <c r="G83" s="104">
        <v>0</v>
      </c>
      <c r="H83" s="104">
        <v>0</v>
      </c>
      <c r="I83" s="104" cm="1">
        <f t="array" ref="I83">SUMPRODUCT(('Projects Overview'!$B$2:$B$5021="Offshore")*('Projects Overview'!$G$2:$G$5021="Forecast")*('Projects Overview'!R$2:R$5021))</f>
        <v>0</v>
      </c>
      <c r="J83" s="104" cm="1">
        <f t="array" ref="J83">SUMPRODUCT(('Projects Overview'!$B$2:$B$5021="Offshore")*('Projects Overview'!$G$2:$G$5021="Forecast")*('Projects Overview'!S$2:S$5021))</f>
        <v>0</v>
      </c>
      <c r="K83" s="104" cm="1">
        <f t="array" ref="K83">SUMPRODUCT(('Projects Overview'!$B$2:$B$5021="Offshore")*('Projects Overview'!$G$2:$G$5021="Forecast")*('Projects Overview'!T$2:T$5021))</f>
        <v>0</v>
      </c>
      <c r="L83" s="104" cm="1">
        <f t="array" ref="L83">SUMPRODUCT(('Projects Overview'!$B$2:$B$5021="Offshore")*('Projects Overview'!$G$2:$G$5021="Forecast")*('Projects Overview'!U$2:U$5021))</f>
        <v>0</v>
      </c>
      <c r="M83" s="104" cm="1">
        <f t="array" ref="M83">SUMPRODUCT(('Projects Overview'!$B$2:$B$5021="Offshore")*('Projects Overview'!$G$2:$G$5021="Forecast")*('Projects Overview'!V$2:V$5021))</f>
        <v>0</v>
      </c>
      <c r="N83" s="104" cm="1">
        <f t="array" ref="N83">SUMPRODUCT(('Projects Overview'!$B$2:$B$5021="Offshore")*('Projects Overview'!$G$2:$G$5021="Forecast")*('Projects Overview'!W$2:W$5021))</f>
        <v>0</v>
      </c>
      <c r="O83" s="104" cm="1">
        <f t="array" ref="O83">SUMPRODUCT(('Projects Overview'!$B$2:$B$5021="Offshore")*('Projects Overview'!$G$2:$G$5021="Forecast")*('Projects Overview'!X$2:X$5021))</f>
        <v>0</v>
      </c>
      <c r="P83" s="104" cm="1">
        <f t="array" ref="P83">SUMPRODUCT(('Projects Overview'!$B$2:$B$5021="Offshore")*('Projects Overview'!$G$2:$G$5021="Forecast")*('Projects Overview'!Y$2:Y$5021))</f>
        <v>0</v>
      </c>
      <c r="Q83" s="104" cm="1">
        <f t="array" ref="Q83">SUMPRODUCT(('Projects Overview'!$B$2:$B$5021="Offshore")*('Projects Overview'!$G$2:$G$5021="Forecast")*('Projects Overview'!Z$2:Z$5021))</f>
        <v>0</v>
      </c>
      <c r="R83" s="104" cm="1">
        <f t="array" ref="R83">SUMPRODUCT(('Projects Overview'!$B$2:$B$5021="Offshore")*('Projects Overview'!$G$2:$G$5021="Forecast")*('Projects Overview'!AA$2:AA$5021))</f>
        <v>440</v>
      </c>
      <c r="S83" s="104" cm="1">
        <f t="array" ref="S83">SUMPRODUCT(('Projects Overview'!$B$2:$B$5021="Offshore")*('Projects Overview'!$G$2:$G$5021="Forecast")*('Projects Overview'!AB$2:AB$5021))</f>
        <v>330</v>
      </c>
      <c r="T83" s="104" cm="1">
        <f t="array" ref="T83">SUMPRODUCT(('Projects Overview'!$B$2:$B$5021="Offshore")*('Projects Overview'!$G$2:$G$5021="Forecast")*('Projects Overview'!AC$2:AC$5021))</f>
        <v>330</v>
      </c>
      <c r="U83" s="104" cm="1">
        <f t="array" ref="U83">SUMPRODUCT(('Projects Overview'!$B$2:$B$5021="Offshore")*('Projects Overview'!$G$2:$G$5021="Forecast")*('Projects Overview'!AD$2:AD$5021))</f>
        <v>330</v>
      </c>
      <c r="V83" s="104" cm="1">
        <f t="array" ref="V83">SUMPRODUCT(('Projects Overview'!$B$2:$B$5021="Offshore")*('Projects Overview'!$G$2:$G$5021="Forecast")*('Projects Overview'!AE$2:AE$5021))</f>
        <v>660</v>
      </c>
      <c r="W83" s="104" cm="1">
        <f t="array" ref="W83">SUMPRODUCT(('Projects Overview'!$B$2:$B$5021="Offshore")*('Projects Overview'!$G$2:$G$5021="Forecast")*('Projects Overview'!AF$2:AF$5021))</f>
        <v>660</v>
      </c>
      <c r="X83" s="104" cm="1">
        <f t="array" ref="X83">SUMPRODUCT(('Projects Overview'!$B$2:$B$5021="Offshore")*('Projects Overview'!$G$2:$G$5021="Forecast")*('Projects Overview'!AG$2:AG$5021))</f>
        <v>660</v>
      </c>
      <c r="Y83" s="104" cm="1">
        <f t="array" ref="Y83">SUMPRODUCT(('Projects Overview'!$B$2:$B$5021="Offshore")*('Projects Overview'!$G$2:$G$5021="Forecast")*('Projects Overview'!AH$2:AH$5021))</f>
        <v>660</v>
      </c>
      <c r="Z83" s="104" cm="1">
        <f t="array" ref="Z83">SUMPRODUCT(('Projects Overview'!$B$2:$B$5021="Offshore")*('Projects Overview'!$G$2:$G$5021="Forecast")*('Projects Overview'!AI$2:AI$5021))</f>
        <v>660</v>
      </c>
      <c r="AA83" s="104" cm="1">
        <f t="array" ref="AA83">SUMPRODUCT(('Projects Overview'!$B$2:$B$5021="Offshore")*('Projects Overview'!$G$2:$G$5021="Forecast")*('Projects Overview'!AJ$2:AJ$5021))</f>
        <v>660</v>
      </c>
      <c r="AB83" s="104" cm="1">
        <f t="array" ref="AB83">SUMPRODUCT(('Projects Overview'!$B$2:$B$5021="Offshore")*('Projects Overview'!$G$2:$G$5021="Forecast")*('Projects Overview'!AK$2:AK$5021))</f>
        <v>0</v>
      </c>
      <c r="AC83" s="104" cm="1">
        <f t="array" ref="AC83">SUMPRODUCT(('Projects Overview'!$B$2:$B$5021="Offshore")*('Projects Overview'!$G$2:$G$5021="Forecast")*('Projects Overview'!AL$2:AL$5021))</f>
        <v>0</v>
      </c>
      <c r="AD83" s="104" cm="1">
        <f t="array" ref="AD83">SUMPRODUCT(('Projects Overview'!$B$2:$B$5021="Offshore")*('Projects Overview'!$G$2:$G$5021="Forecast")*('Projects Overview'!AM$2:AM$5021))</f>
        <v>0</v>
      </c>
      <c r="AE83" s="104" cm="1">
        <f t="array" ref="AE83">SUMPRODUCT(('Projects Overview'!$B$2:$B$5021="Offshore")*('Projects Overview'!$G$2:$G$5021="Forecast")*('Projects Overview'!AN$2:AN$5021))</f>
        <v>0</v>
      </c>
      <c r="AF83" s="104" cm="1">
        <f t="array" ref="AF83">SUMPRODUCT(('Projects Overview'!$B$2:$B$5021="Offshore")*('Projects Overview'!$G$2:$G$5021="Forecast")*('Projects Overview'!AO$2:AO$5021))</f>
        <v>0</v>
      </c>
      <c r="AG83" s="104" cm="1">
        <f t="array" ref="AG83">SUMPRODUCT(('Projects Overview'!$B$2:$B$5021="Offshore")*('Projects Overview'!$G$2:$G$5021="Forecast")*('Projects Overview'!AP$2:AP$5021))</f>
        <v>0</v>
      </c>
      <c r="AH83" s="104" cm="1">
        <f t="array" ref="AH83">SUMPRODUCT(('Projects Overview'!$B$2:$B$5021="Offshore")*('Projects Overview'!$G$2:$G$5021="Forecast")*('Projects Overview'!AQ$2:AQ$5021))</f>
        <v>0</v>
      </c>
      <c r="AI83" s="104" cm="1">
        <f t="array" ref="AI83">SUMPRODUCT(('Projects Overview'!$B$2:$B$5021="Offshore")*('Projects Overview'!$G$2:$G$5021="Forecast")*('Projects Overview'!AR$2:AR$5021))</f>
        <v>0</v>
      </c>
      <c r="AJ83" s="104" cm="1">
        <f t="array" ref="AJ83">SUMPRODUCT(('Projects Overview'!$B$2:$B$5021="Offshore")*('Projects Overview'!$G$2:$G$5021="Forecast")*('Projects Overview'!AS$2:AS$5021))</f>
        <v>0</v>
      </c>
      <c r="AK83" s="104" cm="1">
        <f t="array" ref="AK83">SUMPRODUCT(('Projects Overview'!$B$2:$B$5021="Offshore")*('Projects Overview'!$G$2:$G$5021="Forecast")*('Projects Overview'!AT$2:AT$5021))</f>
        <v>0</v>
      </c>
      <c r="AL83" s="104" cm="1">
        <f t="array" ref="AL83">SUMPRODUCT(('Projects Overview'!$B$2:$B$5021="Offshore")*('Projects Overview'!$G$2:$G$5021="Forecast")*('Projects Overview'!AU$2:AU$5021))</f>
        <v>0</v>
      </c>
      <c r="AM83" s="104" cm="1">
        <f t="array" ref="AM83">SUMPRODUCT(('Projects Overview'!$B$2:$B$5021="Offshore")*('Projects Overview'!$G$2:$G$5021="Forecast")*('Projects Overview'!AV$2:AV$5021))</f>
        <v>0</v>
      </c>
    </row>
    <row r="84" spans="1:40" x14ac:dyDescent="0.35">
      <c r="A84" s="221" t="s">
        <v>97</v>
      </c>
      <c r="B84" s="227" t="s">
        <v>150</v>
      </c>
      <c r="C84" s="4" t="s">
        <v>4</v>
      </c>
      <c r="D84" s="104">
        <v>0</v>
      </c>
      <c r="E84" s="104">
        <v>0</v>
      </c>
      <c r="F84" s="104">
        <v>0</v>
      </c>
      <c r="G84" s="104">
        <v>0</v>
      </c>
      <c r="H84" s="104">
        <v>0</v>
      </c>
      <c r="I84" s="104" cm="1">
        <f t="array" ref="I84">SUMPRODUCT(('Projects Overview'!$B$2:$B$5021="Drive Train")*('Projects Overview'!$G$2:$G$5021="Firm")*('Projects Overview'!R$2:R$5021))</f>
        <v>0</v>
      </c>
      <c r="J84" s="104" cm="1">
        <f t="array" ref="J84">SUMPRODUCT(('Projects Overview'!$B$2:$B$5021="Drive Train")*('Projects Overview'!$G$2:$G$5021="Firm")*('Projects Overview'!S$2:S$5021))</f>
        <v>0</v>
      </c>
      <c r="K84" s="104" cm="1">
        <f t="array" ref="K84">SUMPRODUCT(('Projects Overview'!$B$2:$B$5021="Drive Train")*('Projects Overview'!$G$2:$G$5021="Firm")*('Projects Overview'!T$2:T$5021))</f>
        <v>0</v>
      </c>
      <c r="L84" s="104" cm="1">
        <f t="array" ref="L84">SUMPRODUCT(('Projects Overview'!$B$2:$B$5021="Drive Train")*('Projects Overview'!$G$2:$G$5021="Firm")*('Projects Overview'!U$2:U$5021))</f>
        <v>0</v>
      </c>
      <c r="M84" s="104" cm="1">
        <f t="array" ref="M84">SUMPRODUCT(('Projects Overview'!$B$2:$B$5021="Drive Train")*('Projects Overview'!$G$2:$G$5021="Firm")*('Projects Overview'!V$2:V$5021))</f>
        <v>0</v>
      </c>
      <c r="N84" s="104" cm="1">
        <f t="array" ref="N84">SUMPRODUCT(('Projects Overview'!$B$2:$B$5021="Drive Train")*('Projects Overview'!$G$2:$G$5021="Firm")*('Projects Overview'!W$2:W$5021))</f>
        <v>0</v>
      </c>
      <c r="O84" s="104" cm="1">
        <f t="array" ref="O84">SUMPRODUCT(('Projects Overview'!$B$2:$B$5021="Drive Train")*('Projects Overview'!$G$2:$G$5021="Firm")*('Projects Overview'!X$2:X$5021))</f>
        <v>0</v>
      </c>
      <c r="P84" s="104" cm="1">
        <f t="array" ref="P84">SUMPRODUCT(('Projects Overview'!$B$2:$B$5021="Drive Train")*('Projects Overview'!$G$2:$G$5021="Firm")*('Projects Overview'!Y$2:Y$5021))</f>
        <v>0</v>
      </c>
      <c r="Q84" s="104" cm="1">
        <f t="array" ref="Q84">SUMPRODUCT(('Projects Overview'!$B$2:$B$5021="Drive Train")*('Projects Overview'!$G$2:$G$5021="Firm")*('Projects Overview'!Z$2:Z$5021))</f>
        <v>0</v>
      </c>
      <c r="R84" s="104" cm="1">
        <f t="array" ref="R84">SUMPRODUCT(('Projects Overview'!$B$2:$B$5021="Drive Train")*('Projects Overview'!$G$2:$G$5021="Firm")*('Projects Overview'!AA$2:AA$5021))</f>
        <v>260</v>
      </c>
      <c r="S84" s="104" cm="1">
        <f t="array" ref="S84">SUMPRODUCT(('Projects Overview'!$B$2:$B$5021="Drive Train")*('Projects Overview'!$G$2:$G$5021="Firm")*('Projects Overview'!AB$2:AB$5021))</f>
        <v>260</v>
      </c>
      <c r="T84" s="104" cm="1">
        <f t="array" ref="T84">SUMPRODUCT(('Projects Overview'!$B$2:$B$5021="Drive Train")*('Projects Overview'!$G$2:$G$5021="Firm")*('Projects Overview'!AC$2:AC$5021))</f>
        <v>0</v>
      </c>
      <c r="U84" s="104" cm="1">
        <f t="array" ref="U84">SUMPRODUCT(('Projects Overview'!$B$2:$B$5021="Drive Train")*('Projects Overview'!$G$2:$G$5021="Firm")*('Projects Overview'!AD$2:AD$5021))</f>
        <v>0</v>
      </c>
      <c r="V84" s="104" cm="1">
        <f t="array" ref="V84">SUMPRODUCT(('Projects Overview'!$B$2:$B$5021="Drive Train")*('Projects Overview'!$G$2:$G$5021="Firm")*('Projects Overview'!AE$2:AE$5021))</f>
        <v>0</v>
      </c>
      <c r="W84" s="104" cm="1">
        <f t="array" ref="W84">SUMPRODUCT(('Projects Overview'!$B$2:$B$5021="Drive Train")*('Projects Overview'!$G$2:$G$5021="Firm")*('Projects Overview'!AF$2:AF$5021))</f>
        <v>0</v>
      </c>
      <c r="X84" s="104" cm="1">
        <f t="array" ref="X84">SUMPRODUCT(('Projects Overview'!$B$2:$B$5021="Drive Train")*('Projects Overview'!$G$2:$G$5021="Firm")*('Projects Overview'!AG$2:AG$5021))</f>
        <v>0</v>
      </c>
      <c r="Y84" s="104" cm="1">
        <f t="array" ref="Y84">SUMPRODUCT(('Projects Overview'!$B$2:$B$5021="Drive Train")*('Projects Overview'!$G$2:$G$5021="Firm")*('Projects Overview'!AH$2:AH$5021))</f>
        <v>0</v>
      </c>
      <c r="Z84" s="104" cm="1">
        <f t="array" ref="Z84">SUMPRODUCT(('Projects Overview'!$B$2:$B$5021="Drive Train")*('Projects Overview'!$G$2:$G$5021="Firm")*('Projects Overview'!AI$2:AI$5021))</f>
        <v>0</v>
      </c>
      <c r="AA84" s="104" cm="1">
        <f t="array" ref="AA84">SUMPRODUCT(('Projects Overview'!$B$2:$B$5021="Drive Train")*('Projects Overview'!$G$2:$G$5021="Firm")*('Projects Overview'!AJ$2:AJ$5021))</f>
        <v>0</v>
      </c>
      <c r="AB84" s="104" cm="1">
        <f t="array" ref="AB84">SUMPRODUCT(('Projects Overview'!$B$2:$B$5021="Drive Train")*('Projects Overview'!$G$2:$G$5021="Firm")*('Projects Overview'!AK$2:AK$5021))</f>
        <v>0</v>
      </c>
      <c r="AC84" s="104" cm="1">
        <f t="array" ref="AC84">SUMPRODUCT(('Projects Overview'!$B$2:$B$5021="Drive Train")*('Projects Overview'!$G$2:$G$5021="Firm")*('Projects Overview'!AL$2:AL$5021))</f>
        <v>0</v>
      </c>
      <c r="AD84" s="104" cm="1">
        <f t="array" ref="AD84">SUMPRODUCT(('Projects Overview'!$B$2:$B$5021="Drive Train")*('Projects Overview'!$G$2:$G$5021="Firm")*('Projects Overview'!AM$2:AM$5021))</f>
        <v>0</v>
      </c>
      <c r="AE84" s="104" cm="1">
        <f t="array" ref="AE84">SUMPRODUCT(('Projects Overview'!$B$2:$B$5021="Drive Train")*('Projects Overview'!$G$2:$G$5021="Firm")*('Projects Overview'!AN$2:AN$5021))</f>
        <v>0</v>
      </c>
      <c r="AF84" s="104" cm="1">
        <f t="array" ref="AF84">SUMPRODUCT(('Projects Overview'!$B$2:$B$5021="Drive Train")*('Projects Overview'!$G$2:$G$5021="Firm")*('Projects Overview'!AO$2:AO$5021))</f>
        <v>0</v>
      </c>
      <c r="AG84" s="104" cm="1">
        <f t="array" ref="AG84">SUMPRODUCT(('Projects Overview'!$B$2:$B$5021="Drive Train")*('Projects Overview'!$G$2:$G$5021="Firm")*('Projects Overview'!AP$2:AP$5021))</f>
        <v>0</v>
      </c>
      <c r="AH84" s="104" cm="1">
        <f t="array" ref="AH84">SUMPRODUCT(('Projects Overview'!$B$2:$B$5021="Drive Train")*('Projects Overview'!$G$2:$G$5021="Firm")*('Projects Overview'!AQ$2:AQ$5021))</f>
        <v>0</v>
      </c>
      <c r="AI84" s="104" cm="1">
        <f t="array" ref="AI84">SUMPRODUCT(('Projects Overview'!$B$2:$B$5021="Drive Train")*('Projects Overview'!$G$2:$G$5021="Firm")*('Projects Overview'!AR$2:AR$5021))</f>
        <v>0</v>
      </c>
      <c r="AJ84" s="104" cm="1">
        <f t="array" ref="AJ84">SUMPRODUCT(('Projects Overview'!$B$2:$B$5021="Drive Train")*('Projects Overview'!$G$2:$G$5021="Firm")*('Projects Overview'!AS$2:AS$5021))</f>
        <v>0</v>
      </c>
      <c r="AK84" s="104" cm="1">
        <f t="array" ref="AK84">SUMPRODUCT(('Projects Overview'!$B$2:$B$5021="Drive Train")*('Projects Overview'!$G$2:$G$5021="Firm")*('Projects Overview'!AT$2:AT$5021))</f>
        <v>0</v>
      </c>
      <c r="AL84" s="104" cm="1">
        <f t="array" ref="AL84">SUMPRODUCT(('Projects Overview'!$B$2:$B$5021="Drive Train")*('Projects Overview'!$G$2:$G$5021="Firm")*('Projects Overview'!AU$2:AU$5021))</f>
        <v>0</v>
      </c>
      <c r="AM84" s="104" cm="1">
        <f t="array" ref="AM84">SUMPRODUCT(('Projects Overview'!$B$2:$B$5021="Drive Train")*('Projects Overview'!$G$2:$G$5021="Firm")*('Projects Overview'!AV$2:AV$5021))</f>
        <v>0</v>
      </c>
    </row>
    <row r="85" spans="1:40" x14ac:dyDescent="0.35">
      <c r="A85" s="222"/>
      <c r="B85" s="227"/>
      <c r="C85" s="2" t="s">
        <v>6</v>
      </c>
      <c r="D85" s="104">
        <v>0</v>
      </c>
      <c r="E85" s="104">
        <v>0</v>
      </c>
      <c r="F85" s="104">
        <v>0</v>
      </c>
      <c r="G85" s="104">
        <v>0</v>
      </c>
      <c r="H85" s="104">
        <v>0</v>
      </c>
      <c r="I85" s="104" cm="1">
        <f t="array" ref="I85">SUMPRODUCT(('Projects Overview'!$B$2:$B$5021="Drive Train")*('Projects Overview'!$G$2:$G$5021="Risk Release")*('Projects Overview'!R$2:R$5021))</f>
        <v>0</v>
      </c>
      <c r="J85" s="104" cm="1">
        <f t="array" ref="J85">SUMPRODUCT(('Projects Overview'!$B$2:$B$5021="Drive Train")*('Projects Overview'!$G$2:$G$5021="Risk Release")*('Projects Overview'!S$2:S$5021))</f>
        <v>0</v>
      </c>
      <c r="K85" s="104" cm="1">
        <f t="array" ref="K85">SUMPRODUCT(('Projects Overview'!$B$2:$B$5021="Drive Train")*('Projects Overview'!$G$2:$G$5021="Risk Release")*('Projects Overview'!T$2:T$5021))</f>
        <v>0</v>
      </c>
      <c r="L85" s="104" cm="1">
        <f t="array" ref="L85">SUMPRODUCT(('Projects Overview'!$B$2:$B$5021="Drive Train")*('Projects Overview'!$G$2:$G$5021="Risk Release")*('Projects Overview'!U$2:U$5021))</f>
        <v>0</v>
      </c>
      <c r="M85" s="104" cm="1">
        <f t="array" ref="M85">SUMPRODUCT(('Projects Overview'!$B$2:$B$5021="Drive Train")*('Projects Overview'!$G$2:$G$5021="Risk Release")*('Projects Overview'!V$2:V$5021))</f>
        <v>0</v>
      </c>
      <c r="N85" s="104" cm="1">
        <f t="array" ref="N85">SUMPRODUCT(('Projects Overview'!$B$2:$B$5021="Drive Train")*('Projects Overview'!$G$2:$G$5021="Risk Release")*('Projects Overview'!W$2:W$5021))</f>
        <v>0</v>
      </c>
      <c r="O85" s="104" cm="1">
        <f t="array" ref="O85">SUMPRODUCT(('Projects Overview'!$B$2:$B$5021="Drive Train")*('Projects Overview'!$G$2:$G$5021="Risk Release")*('Projects Overview'!X$2:X$5021))</f>
        <v>0</v>
      </c>
      <c r="P85" s="104" cm="1">
        <f t="array" ref="P85">SUMPRODUCT(('Projects Overview'!$B$2:$B$5021="Drive Train")*('Projects Overview'!$G$2:$G$5021="Risk Release")*('Projects Overview'!Y$2:Y$5021))</f>
        <v>0</v>
      </c>
      <c r="Q85" s="104" cm="1">
        <f t="array" ref="Q85">SUMPRODUCT(('Projects Overview'!$B$2:$B$5021="Drive Train")*('Projects Overview'!$G$2:$G$5021="Risk Release")*('Projects Overview'!Z$2:Z$5021))</f>
        <v>0</v>
      </c>
      <c r="R85" s="104" cm="1">
        <f t="array" ref="R85">SUMPRODUCT(('Projects Overview'!$B$2:$B$5021="Drive Train")*('Projects Overview'!$G$2:$G$5021="Risk Release")*('Projects Overview'!AA$2:AA$5021))</f>
        <v>0</v>
      </c>
      <c r="S85" s="104" cm="1">
        <f t="array" ref="S85">SUMPRODUCT(('Projects Overview'!$B$2:$B$5021="Drive Train")*('Projects Overview'!$G$2:$G$5021="Risk Release")*('Projects Overview'!AB$2:AB$5021))</f>
        <v>0</v>
      </c>
      <c r="T85" s="104" cm="1">
        <f t="array" ref="T85">SUMPRODUCT(('Projects Overview'!$B$2:$B$5021="Drive Train")*('Projects Overview'!$G$2:$G$5021="Risk Release")*('Projects Overview'!AC$2:AC$5021))</f>
        <v>0</v>
      </c>
      <c r="U85" s="104" cm="1">
        <f t="array" ref="U85">SUMPRODUCT(('Projects Overview'!$B$2:$B$5021="Drive Train")*('Projects Overview'!$G$2:$G$5021="Risk Release")*('Projects Overview'!AD$2:AD$5021))</f>
        <v>0</v>
      </c>
      <c r="V85" s="104" cm="1">
        <f t="array" ref="V85">SUMPRODUCT(('Projects Overview'!$B$2:$B$5021="Drive Train")*('Projects Overview'!$G$2:$G$5021="Risk Release")*('Projects Overview'!AE$2:AE$5021))</f>
        <v>0</v>
      </c>
      <c r="W85" s="104" cm="1">
        <f t="array" ref="W85">SUMPRODUCT(('Projects Overview'!$B$2:$B$5021="Drive Train")*('Projects Overview'!$G$2:$G$5021="Risk Release")*('Projects Overview'!AF$2:AF$5021))</f>
        <v>0</v>
      </c>
      <c r="X85" s="104" cm="1">
        <f t="array" ref="X85">SUMPRODUCT(('Projects Overview'!$B$2:$B$5021="Drive Train")*('Projects Overview'!$G$2:$G$5021="Risk Release")*('Projects Overview'!AG$2:AG$5021))</f>
        <v>0</v>
      </c>
      <c r="Y85" s="104" cm="1">
        <f t="array" ref="Y85">SUMPRODUCT(('Projects Overview'!$B$2:$B$5021="Drive Train")*('Projects Overview'!$G$2:$G$5021="Risk Release")*('Projects Overview'!AH$2:AH$5021))</f>
        <v>0</v>
      </c>
      <c r="Z85" s="104" cm="1">
        <f t="array" ref="Z85">SUMPRODUCT(('Projects Overview'!$B$2:$B$5021="Drive Train")*('Projects Overview'!$G$2:$G$5021="Risk Release")*('Projects Overview'!AI$2:AI$5021))</f>
        <v>0</v>
      </c>
      <c r="AA85" s="104" cm="1">
        <f t="array" ref="AA85">SUMPRODUCT(('Projects Overview'!$B$2:$B$5021="Drive Train")*('Projects Overview'!$G$2:$G$5021="Risk Release")*('Projects Overview'!AJ$2:AJ$5021))</f>
        <v>0</v>
      </c>
      <c r="AB85" s="104" cm="1">
        <f t="array" ref="AB85">SUMPRODUCT(('Projects Overview'!$B$2:$B$5021="Drive Train")*('Projects Overview'!$G$2:$G$5021="Risk Release")*('Projects Overview'!AK$2:AK$5021))</f>
        <v>0</v>
      </c>
      <c r="AC85" s="104" cm="1">
        <f t="array" ref="AC85">SUMPRODUCT(('Projects Overview'!$B$2:$B$5021="Drive Train")*('Projects Overview'!$G$2:$G$5021="Risk Release")*('Projects Overview'!AL$2:AL$5021))</f>
        <v>0</v>
      </c>
      <c r="AD85" s="104" cm="1">
        <f t="array" ref="AD85">SUMPRODUCT(('Projects Overview'!$B$2:$B$5021="Drive Train")*('Projects Overview'!$G$2:$G$5021="Risk Release")*('Projects Overview'!AM$2:AM$5021))</f>
        <v>0</v>
      </c>
      <c r="AE85" s="104" cm="1">
        <f t="array" ref="AE85">SUMPRODUCT(('Projects Overview'!$B$2:$B$5021="Drive Train")*('Projects Overview'!$G$2:$G$5021="Risk Release")*('Projects Overview'!AN$2:AN$5021))</f>
        <v>0</v>
      </c>
      <c r="AF85" s="104" cm="1">
        <f t="array" ref="AF85">SUMPRODUCT(('Projects Overview'!$B$2:$B$5021="Drive Train")*('Projects Overview'!$G$2:$G$5021="Risk Release")*('Projects Overview'!AO$2:AO$5021))</f>
        <v>0</v>
      </c>
      <c r="AG85" s="104" cm="1">
        <f t="array" ref="AG85">SUMPRODUCT(('Projects Overview'!$B$2:$B$5021="Drive Train")*('Projects Overview'!$G$2:$G$5021="Risk Release")*('Projects Overview'!AP$2:AP$5021))</f>
        <v>0</v>
      </c>
      <c r="AH85" s="104" cm="1">
        <f t="array" ref="AH85">SUMPRODUCT(('Projects Overview'!$B$2:$B$5021="Drive Train")*('Projects Overview'!$G$2:$G$5021="Risk Release")*('Projects Overview'!AQ$2:AQ$5021))</f>
        <v>0</v>
      </c>
      <c r="AI85" s="104" cm="1">
        <f t="array" ref="AI85">SUMPRODUCT(('Projects Overview'!$B$2:$B$5021="Drive Train")*('Projects Overview'!$G$2:$G$5021="Risk Release")*('Projects Overview'!AR$2:AR$5021))</f>
        <v>0</v>
      </c>
      <c r="AJ85" s="104" cm="1">
        <f t="array" ref="AJ85">SUMPRODUCT(('Projects Overview'!$B$2:$B$5021="Drive Train")*('Projects Overview'!$G$2:$G$5021="Risk Release")*('Projects Overview'!AS$2:AS$5021))</f>
        <v>0</v>
      </c>
      <c r="AK85" s="104" cm="1">
        <f t="array" ref="AK85">SUMPRODUCT(('Projects Overview'!$B$2:$B$5021="Drive Train")*('Projects Overview'!$G$2:$G$5021="Risk Release")*('Projects Overview'!AT$2:AT$5021))</f>
        <v>0</v>
      </c>
      <c r="AL85" s="104" cm="1">
        <f t="array" ref="AL85">SUMPRODUCT(('Projects Overview'!$B$2:$B$5021="Drive Train")*('Projects Overview'!$G$2:$G$5021="Risk Release")*('Projects Overview'!AU$2:AU$5021))</f>
        <v>0</v>
      </c>
      <c r="AM85" s="104" cm="1">
        <f t="array" ref="AM85">SUMPRODUCT(('Projects Overview'!$B$2:$B$5021="Drive Train")*('Projects Overview'!$G$2:$G$5021="Risk Release")*('Projects Overview'!AV$2:AV$5021))</f>
        <v>0</v>
      </c>
    </row>
    <row r="86" spans="1:40" x14ac:dyDescent="0.35">
      <c r="A86" s="222"/>
      <c r="B86" s="228"/>
      <c r="C86" s="3" t="s">
        <v>8</v>
      </c>
      <c r="D86" s="104">
        <v>0</v>
      </c>
      <c r="E86" s="104">
        <v>0</v>
      </c>
      <c r="F86" s="104">
        <v>0</v>
      </c>
      <c r="G86" s="104">
        <v>0</v>
      </c>
      <c r="H86" s="104">
        <v>0</v>
      </c>
      <c r="I86" s="104" cm="1">
        <f t="array" ref="I86">SUMPRODUCT(('Projects Overview'!$B$2:$B$5021="Drive Train")*('Projects Overview'!$G$2:$G$5021="Forecast")*('Projects Overview'!R$2:R$5021))</f>
        <v>0</v>
      </c>
      <c r="J86" s="104" cm="1">
        <f t="array" ref="J86">SUMPRODUCT(('Projects Overview'!$B$2:$B$5021="Drive Train")*('Projects Overview'!$G$2:$G$5021="Forecast")*('Projects Overview'!S$2:S$5021))</f>
        <v>0</v>
      </c>
      <c r="K86" s="104" cm="1">
        <f t="array" ref="K86">SUMPRODUCT(('Projects Overview'!$B$2:$B$5021="Drive Train")*('Projects Overview'!$G$2:$G$5021="Forecast")*('Projects Overview'!T$2:T$5021))</f>
        <v>0</v>
      </c>
      <c r="L86" s="104" cm="1">
        <f t="array" ref="L86">SUMPRODUCT(('Projects Overview'!$B$2:$B$5021="Drive Train")*('Projects Overview'!$G$2:$G$5021="Forecast")*('Projects Overview'!U$2:U$5021))</f>
        <v>0</v>
      </c>
      <c r="M86" s="104" cm="1">
        <f t="array" ref="M86">SUMPRODUCT(('Projects Overview'!$B$2:$B$5021="Drive Train")*('Projects Overview'!$G$2:$G$5021="Forecast")*('Projects Overview'!V$2:V$5021))</f>
        <v>0</v>
      </c>
      <c r="N86" s="104" cm="1">
        <f t="array" ref="N86">SUMPRODUCT(('Projects Overview'!$B$2:$B$5021="Drive Train")*('Projects Overview'!$G$2:$G$5021="Forecast")*('Projects Overview'!W$2:W$5021))</f>
        <v>0</v>
      </c>
      <c r="O86" s="104" cm="1">
        <f t="array" ref="O86">SUMPRODUCT(('Projects Overview'!$B$2:$B$5021="Drive Train")*('Projects Overview'!$G$2:$G$5021="Forecast")*('Projects Overview'!X$2:X$5021))</f>
        <v>0</v>
      </c>
      <c r="P86" s="104" cm="1">
        <f t="array" ref="P86">SUMPRODUCT(('Projects Overview'!$B$2:$B$5021="Drive Train")*('Projects Overview'!$G$2:$G$5021="Forecast")*('Projects Overview'!Y$2:Y$5021))</f>
        <v>0</v>
      </c>
      <c r="Q86" s="104" cm="1">
        <f t="array" ref="Q86">SUMPRODUCT(('Projects Overview'!$B$2:$B$5021="Drive Train")*('Projects Overview'!$G$2:$G$5021="Forecast")*('Projects Overview'!Z$2:Z$5021))</f>
        <v>0</v>
      </c>
      <c r="R86" s="104" cm="1">
        <f t="array" ref="R86">SUMPRODUCT(('Projects Overview'!$B$2:$B$5021="Drive Train")*('Projects Overview'!$G$2:$G$5021="Forecast")*('Projects Overview'!AA$2:AA$5021))</f>
        <v>0</v>
      </c>
      <c r="S86" s="104" cm="1">
        <f t="array" ref="S86">SUMPRODUCT(('Projects Overview'!$B$2:$B$5021="Drive Train")*('Projects Overview'!$G$2:$G$5021="Forecast")*('Projects Overview'!AB$2:AB$5021))</f>
        <v>0</v>
      </c>
      <c r="T86" s="104" cm="1">
        <f t="array" ref="T86">SUMPRODUCT(('Projects Overview'!$B$2:$B$5021="Drive Train")*('Projects Overview'!$G$2:$G$5021="Forecast")*('Projects Overview'!AC$2:AC$5021))</f>
        <v>0</v>
      </c>
      <c r="U86" s="104" cm="1">
        <f t="array" ref="U86">SUMPRODUCT(('Projects Overview'!$B$2:$B$5021="Drive Train")*('Projects Overview'!$G$2:$G$5021="Forecast")*('Projects Overview'!AD$2:AD$5021))</f>
        <v>0</v>
      </c>
      <c r="V86" s="104" cm="1">
        <f t="array" ref="V86">SUMPRODUCT(('Projects Overview'!$B$2:$B$5021="Drive Train")*('Projects Overview'!$G$2:$G$5021="Forecast")*('Projects Overview'!AE$2:AE$5021))</f>
        <v>0</v>
      </c>
      <c r="W86" s="104" cm="1">
        <f t="array" ref="W86">SUMPRODUCT(('Projects Overview'!$B$2:$B$5021="Drive Train")*('Projects Overview'!$G$2:$G$5021="Forecast")*('Projects Overview'!AF$2:AF$5021))</f>
        <v>0</v>
      </c>
      <c r="X86" s="104" cm="1">
        <f t="array" ref="X86">SUMPRODUCT(('Projects Overview'!$B$2:$B$5021="Drive Train")*('Projects Overview'!$G$2:$G$5021="Forecast")*('Projects Overview'!AG$2:AG$5021))</f>
        <v>0</v>
      </c>
      <c r="Y86" s="104" cm="1">
        <f t="array" ref="Y86">SUMPRODUCT(('Projects Overview'!$B$2:$B$5021="Drive Train")*('Projects Overview'!$G$2:$G$5021="Forecast")*('Projects Overview'!AH$2:AH$5021))</f>
        <v>0</v>
      </c>
      <c r="Z86" s="104" cm="1">
        <f t="array" ref="Z86">SUMPRODUCT(('Projects Overview'!$B$2:$B$5021="Drive Train")*('Projects Overview'!$G$2:$G$5021="Forecast")*('Projects Overview'!AI$2:AI$5021))</f>
        <v>0</v>
      </c>
      <c r="AA86" s="104" cm="1">
        <f t="array" ref="AA86">SUMPRODUCT(('Projects Overview'!$B$2:$B$5021="Drive Train")*('Projects Overview'!$G$2:$G$5021="Forecast")*('Projects Overview'!AJ$2:AJ$5021))</f>
        <v>0</v>
      </c>
      <c r="AB86" s="104" cm="1">
        <f t="array" ref="AB86">SUMPRODUCT(('Projects Overview'!$B$2:$B$5021="Drive Train")*('Projects Overview'!$G$2:$G$5021="Forecast")*('Projects Overview'!AK$2:AK$5021))</f>
        <v>0</v>
      </c>
      <c r="AC86" s="104" cm="1">
        <f t="array" ref="AC86">SUMPRODUCT(('Projects Overview'!$B$2:$B$5021="Drive Train")*('Projects Overview'!$G$2:$G$5021="Forecast")*('Projects Overview'!AL$2:AL$5021))</f>
        <v>0</v>
      </c>
      <c r="AD86" s="104" cm="1">
        <f t="array" ref="AD86">SUMPRODUCT(('Projects Overview'!$B$2:$B$5021="Drive Train")*('Projects Overview'!$G$2:$G$5021="Forecast")*('Projects Overview'!AM$2:AM$5021))</f>
        <v>0</v>
      </c>
      <c r="AE86" s="104" cm="1">
        <f t="array" ref="AE86">SUMPRODUCT(('Projects Overview'!$B$2:$B$5021="Drive Train")*('Projects Overview'!$G$2:$G$5021="Forecast")*('Projects Overview'!AN$2:AN$5021))</f>
        <v>0</v>
      </c>
      <c r="AF86" s="104" cm="1">
        <f t="array" ref="AF86">SUMPRODUCT(('Projects Overview'!$B$2:$B$5021="Drive Train")*('Projects Overview'!$G$2:$G$5021="Forecast")*('Projects Overview'!AO$2:AO$5021))</f>
        <v>0</v>
      </c>
      <c r="AG86" s="104" cm="1">
        <f t="array" ref="AG86">SUMPRODUCT(('Projects Overview'!$B$2:$B$5021="Drive Train")*('Projects Overview'!$G$2:$G$5021="Forecast")*('Projects Overview'!AP$2:AP$5021))</f>
        <v>0</v>
      </c>
      <c r="AH86" s="104" cm="1">
        <f t="array" ref="AH86">SUMPRODUCT(('Projects Overview'!$B$2:$B$5021="Drive Train")*('Projects Overview'!$G$2:$G$5021="Forecast")*('Projects Overview'!AQ$2:AQ$5021))</f>
        <v>0</v>
      </c>
      <c r="AI86" s="104" cm="1">
        <f t="array" ref="AI86">SUMPRODUCT(('Projects Overview'!$B$2:$B$5021="Drive Train")*('Projects Overview'!$G$2:$G$5021="Forecast")*('Projects Overview'!AR$2:AR$5021))</f>
        <v>0</v>
      </c>
      <c r="AJ86" s="104" cm="1">
        <f t="array" ref="AJ86">SUMPRODUCT(('Projects Overview'!$B$2:$B$5021="Drive Train")*('Projects Overview'!$G$2:$G$5021="Forecast")*('Projects Overview'!AS$2:AS$5021))</f>
        <v>0</v>
      </c>
      <c r="AK86" s="104" cm="1">
        <f t="array" ref="AK86">SUMPRODUCT(('Projects Overview'!$B$2:$B$5021="Drive Train")*('Projects Overview'!$G$2:$G$5021="Forecast")*('Projects Overview'!AT$2:AT$5021))</f>
        <v>0</v>
      </c>
      <c r="AL86" s="104" cm="1">
        <f t="array" ref="AL86">SUMPRODUCT(('Projects Overview'!$B$2:$B$5021="Drive Train")*('Projects Overview'!$G$2:$G$5021="Forecast")*('Projects Overview'!AU$2:AU$5021))</f>
        <v>0</v>
      </c>
      <c r="AM86" s="104" cm="1">
        <f t="array" ref="AM86">SUMPRODUCT(('Projects Overview'!$B$2:$B$5021="Drive Train")*('Projects Overview'!$G$2:$G$5021="Forecast")*('Projects Overview'!AV$2:AV$5021))</f>
        <v>0</v>
      </c>
    </row>
    <row r="87" spans="1:40" x14ac:dyDescent="0.35">
      <c r="A87" s="222"/>
      <c r="B87" s="227" t="s">
        <v>394</v>
      </c>
      <c r="C87" s="4" t="s">
        <v>4</v>
      </c>
      <c r="D87" s="104">
        <v>0</v>
      </c>
      <c r="E87" s="104">
        <v>0</v>
      </c>
      <c r="F87" s="104">
        <v>0</v>
      </c>
      <c r="G87" s="104">
        <v>0</v>
      </c>
      <c r="H87" s="104">
        <v>0</v>
      </c>
      <c r="I87" s="104" cm="1">
        <f t="array" ref="I87">SUMPRODUCT(('Projects Overview'!$B$2:$B$5021="Gearbox Drawworks")*('Projects Overview'!$G$2:$G$5021="Firm")*('Projects Overview'!R$2:R$5021))</f>
        <v>0</v>
      </c>
      <c r="J87" s="104" cm="1">
        <f t="array" ref="J87">SUMPRODUCT(('Projects Overview'!$B$2:$B$5021="Gearbox Drawworks")*('Projects Overview'!$G$2:$G$5021="Firm")*('Projects Overview'!S$2:S$5021))</f>
        <v>0</v>
      </c>
      <c r="K87" s="104" cm="1">
        <f t="array" ref="K87">SUMPRODUCT(('Projects Overview'!$B$2:$B$5021="Gearbox Drawworks")*('Projects Overview'!$G$2:$G$5021="Firm")*('Projects Overview'!T$2:T$5021))</f>
        <v>0</v>
      </c>
      <c r="L87" s="104" cm="1">
        <f t="array" ref="L87">SUMPRODUCT(('Projects Overview'!$B$2:$B$5021="Gearbox Drawworks")*('Projects Overview'!$G$2:$G$5021="Firm")*('Projects Overview'!U$2:U$5021))</f>
        <v>0</v>
      </c>
      <c r="M87" s="104" cm="1">
        <f t="array" ref="M87">SUMPRODUCT(('Projects Overview'!$B$2:$B$5021="Gearbox Drawworks")*('Projects Overview'!$G$2:$G$5021="Firm")*('Projects Overview'!V$2:V$5021))</f>
        <v>0</v>
      </c>
      <c r="N87" s="104" cm="1">
        <f t="array" ref="N87">SUMPRODUCT(('Projects Overview'!$B$2:$B$5021="Gearbox Drawworks")*('Projects Overview'!$G$2:$G$5021="Firm")*('Projects Overview'!W$2:W$5021))</f>
        <v>0</v>
      </c>
      <c r="O87" s="104" cm="1">
        <f t="array" ref="O87">SUMPRODUCT(('Projects Overview'!$B$2:$B$5021="Gearbox Drawworks")*('Projects Overview'!$G$2:$G$5021="Firm")*('Projects Overview'!X$2:X$5021))</f>
        <v>0</v>
      </c>
      <c r="P87" s="104" cm="1">
        <f t="array" ref="P87">SUMPRODUCT(('Projects Overview'!$B$2:$B$5021="Gearbox Drawworks")*('Projects Overview'!$G$2:$G$5021="Firm")*('Projects Overview'!Y$2:Y$5021))</f>
        <v>0</v>
      </c>
      <c r="Q87" s="104" cm="1">
        <f t="array" ref="Q87">SUMPRODUCT(('Projects Overview'!$B$2:$B$5021="Gearbox Drawworks")*('Projects Overview'!$G$2:$G$5021="Firm")*('Projects Overview'!Z$2:Z$5021))</f>
        <v>0</v>
      </c>
      <c r="R87" s="104" cm="1">
        <f t="array" ref="R87">SUMPRODUCT(('Projects Overview'!$B$2:$B$5021="Gearbox Drawworks")*('Projects Overview'!$G$2:$G$5021="Firm")*('Projects Overview'!AA$2:AA$5021))</f>
        <v>0</v>
      </c>
      <c r="S87" s="104" cm="1">
        <f t="array" ref="S87">SUMPRODUCT(('Projects Overview'!$B$2:$B$5021="Gearbox Drawworks")*('Projects Overview'!$G$2:$G$5021="Firm")*('Projects Overview'!AB$2:AB$5021))</f>
        <v>0</v>
      </c>
      <c r="T87" s="104" cm="1">
        <f t="array" ref="T87">SUMPRODUCT(('Projects Overview'!$B$2:$B$5021="Gearbox Drawworks")*('Projects Overview'!$G$2:$G$5021="Firm")*('Projects Overview'!AC$2:AC$5021))</f>
        <v>0</v>
      </c>
      <c r="U87" s="104" cm="1">
        <f t="array" ref="U87">SUMPRODUCT(('Projects Overview'!$B$2:$B$5021="Gearbox Drawworks")*('Projects Overview'!$G$2:$G$5021="Firm")*('Projects Overview'!AD$2:AD$5021))</f>
        <v>0</v>
      </c>
      <c r="V87" s="104" cm="1">
        <f t="array" ref="V87">SUMPRODUCT(('Projects Overview'!$B$2:$B$5021="Gearbox Drawworks")*('Projects Overview'!$G$2:$G$5021="Firm")*('Projects Overview'!AE$2:AE$5021))</f>
        <v>0</v>
      </c>
      <c r="W87" s="104" cm="1">
        <f t="array" ref="W87">SUMPRODUCT(('Projects Overview'!$B$2:$B$5021="Gearbox Drawworks")*('Projects Overview'!$G$2:$G$5021="Firm")*('Projects Overview'!AF$2:AF$5021))</f>
        <v>0</v>
      </c>
      <c r="X87" s="104" cm="1">
        <f t="array" ref="X87">SUMPRODUCT(('Projects Overview'!$B$2:$B$5021="Gearbox Drawworks")*('Projects Overview'!$G$2:$G$5021="Firm")*('Projects Overview'!AG$2:AG$5021))</f>
        <v>0</v>
      </c>
      <c r="Y87" s="104" cm="1">
        <f t="array" ref="Y87">SUMPRODUCT(('Projects Overview'!$B$2:$B$5021="Gearbox Drawworks")*('Projects Overview'!$G$2:$G$5021="Firm")*('Projects Overview'!AH$2:AH$5021))</f>
        <v>0</v>
      </c>
      <c r="Z87" s="104" cm="1">
        <f t="array" ref="Z87">SUMPRODUCT(('Projects Overview'!$B$2:$B$5021="Gearbox Drawworks")*('Projects Overview'!$G$2:$G$5021="Firm")*('Projects Overview'!AI$2:AI$5021))</f>
        <v>0</v>
      </c>
      <c r="AA87" s="104" cm="1">
        <f t="array" ref="AA87">SUMPRODUCT(('Projects Overview'!$B$2:$B$5021="Gearbox Drawworks")*('Projects Overview'!$G$2:$G$5021="Firm")*('Projects Overview'!AJ$2:AJ$5021))</f>
        <v>0</v>
      </c>
      <c r="AB87" s="104" cm="1">
        <f t="array" ref="AB87">SUMPRODUCT(('Projects Overview'!$B$2:$B$5021="Gearbox Drawworks")*('Projects Overview'!$G$2:$G$5021="Firm")*('Projects Overview'!AK$2:AK$5021))</f>
        <v>0</v>
      </c>
      <c r="AC87" s="104" cm="1">
        <f t="array" ref="AC87">SUMPRODUCT(('Projects Overview'!$B$2:$B$5021="Gearbox Drawworks")*('Projects Overview'!$G$2:$G$5021="Firm")*('Projects Overview'!AL$2:AL$5021))</f>
        <v>0</v>
      </c>
      <c r="AD87" s="104" cm="1">
        <f t="array" ref="AD87">SUMPRODUCT(('Projects Overview'!$B$2:$B$5021="Gearbox Drawworks")*('Projects Overview'!$G$2:$G$5021="Firm")*('Projects Overview'!AM$2:AM$5021))</f>
        <v>0</v>
      </c>
      <c r="AE87" s="104" cm="1">
        <f t="array" ref="AE87">SUMPRODUCT(('Projects Overview'!$B$2:$B$5021="Gearbox Drawworks")*('Projects Overview'!$G$2:$G$5021="Firm")*('Projects Overview'!AN$2:AN$5021))</f>
        <v>0</v>
      </c>
      <c r="AF87" s="104" cm="1">
        <f t="array" ref="AF87">SUMPRODUCT(('Projects Overview'!$B$2:$B$5021="Gearbox Drawworks")*('Projects Overview'!$G$2:$G$5021="Firm")*('Projects Overview'!AO$2:AO$5021))</f>
        <v>0</v>
      </c>
      <c r="AG87" s="104" cm="1">
        <f t="array" ref="AG87">SUMPRODUCT(('Projects Overview'!$B$2:$B$5021="Gearbox Drawworks")*('Projects Overview'!$G$2:$G$5021="Firm")*('Projects Overview'!AP$2:AP$5021))</f>
        <v>0</v>
      </c>
      <c r="AH87" s="104" cm="1">
        <f t="array" ref="AH87">SUMPRODUCT(('Projects Overview'!$B$2:$B$5021="Gearbox Drawworks")*('Projects Overview'!$G$2:$G$5021="Firm")*('Projects Overview'!AQ$2:AQ$5021))</f>
        <v>0</v>
      </c>
      <c r="AI87" s="104" cm="1">
        <f t="array" ref="AI87">SUMPRODUCT(('Projects Overview'!$B$2:$B$5021="Gearbox Drawworks")*('Projects Overview'!$G$2:$G$5021="Firm")*('Projects Overview'!AR$2:AR$5021))</f>
        <v>0</v>
      </c>
      <c r="AJ87" s="104" cm="1">
        <f t="array" ref="AJ87">SUMPRODUCT(('Projects Overview'!$B$2:$B$5021="Gearbox Drawworks")*('Projects Overview'!$G$2:$G$5021="Firm")*('Projects Overview'!AS$2:AS$5021))</f>
        <v>0</v>
      </c>
      <c r="AK87" s="104" cm="1">
        <f t="array" ref="AK87">SUMPRODUCT(('Projects Overview'!$B$2:$B$5021="Gearbox Drawworks")*('Projects Overview'!$G$2:$G$5021="Firm")*('Projects Overview'!AT$2:AT$5021))</f>
        <v>0</v>
      </c>
      <c r="AL87" s="104" cm="1">
        <f t="array" ref="AL87">SUMPRODUCT(('Projects Overview'!$B$2:$B$5021="Gearbox Drawworks")*('Projects Overview'!$G$2:$G$5021="Firm")*('Projects Overview'!AU$2:AU$5021))</f>
        <v>0</v>
      </c>
      <c r="AM87" s="104" cm="1">
        <f t="array" ref="AM87">SUMPRODUCT(('Projects Overview'!$B$2:$B$5021="Gearbox Drawworks")*('Projects Overview'!$G$2:$G$5021="Firm")*('Projects Overview'!AV$2:AV$5021))</f>
        <v>0</v>
      </c>
    </row>
    <row r="88" spans="1:40" x14ac:dyDescent="0.35">
      <c r="A88" s="222"/>
      <c r="B88" s="227"/>
      <c r="C88" s="2" t="s">
        <v>6</v>
      </c>
      <c r="D88" s="104">
        <v>0</v>
      </c>
      <c r="E88" s="104">
        <v>0</v>
      </c>
      <c r="F88" s="104">
        <v>0</v>
      </c>
      <c r="G88" s="104">
        <v>0</v>
      </c>
      <c r="H88" s="104">
        <v>0</v>
      </c>
      <c r="I88" s="104" cm="1">
        <f t="array" ref="I88">SUMPRODUCT(('Projects Overview'!$B$2:$B$5021="Gearbox Drawworks")*('Projects Overview'!$G$2:$G$5021="Risk Release")*('Projects Overview'!R$2:R$5021))</f>
        <v>0</v>
      </c>
      <c r="J88" s="104" cm="1">
        <f t="array" ref="J88">SUMPRODUCT(('Projects Overview'!$B$2:$B$5021="Gearbox Drawworks")*('Projects Overview'!$G$2:$G$5021="Risk Release")*('Projects Overview'!S$2:S$5021))</f>
        <v>0</v>
      </c>
      <c r="K88" s="104" cm="1">
        <f t="array" ref="K88">SUMPRODUCT(('Projects Overview'!$B$2:$B$5021="Gearbox Drawworks")*('Projects Overview'!$G$2:$G$5021="Risk Release")*('Projects Overview'!T$2:T$5021))</f>
        <v>0</v>
      </c>
      <c r="L88" s="104" cm="1">
        <f t="array" ref="L88">SUMPRODUCT(('Projects Overview'!$B$2:$B$5021="Gearbox Drawworks")*('Projects Overview'!$G$2:$G$5021="Risk Release")*('Projects Overview'!U$2:U$5021))</f>
        <v>0</v>
      </c>
      <c r="M88" s="104" cm="1">
        <f t="array" ref="M88">SUMPRODUCT(('Projects Overview'!$B$2:$B$5021="Gearbox Drawworks")*('Projects Overview'!$G$2:$G$5021="Risk Release")*('Projects Overview'!V$2:V$5021))</f>
        <v>0</v>
      </c>
      <c r="N88" s="104" cm="1">
        <f t="array" ref="N88">SUMPRODUCT(('Projects Overview'!$B$2:$B$5021="Gearbox Drawworks")*('Projects Overview'!$G$2:$G$5021="Risk Release")*('Projects Overview'!W$2:W$5021))</f>
        <v>0</v>
      </c>
      <c r="O88" s="104" cm="1">
        <f t="array" ref="O88">SUMPRODUCT(('Projects Overview'!$B$2:$B$5021="Gearbox Drawworks")*('Projects Overview'!$G$2:$G$5021="Risk Release")*('Projects Overview'!X$2:X$5021))</f>
        <v>0</v>
      </c>
      <c r="P88" s="104" cm="1">
        <f t="array" ref="P88">SUMPRODUCT(('Projects Overview'!$B$2:$B$5021="Gearbox Drawworks")*('Projects Overview'!$G$2:$G$5021="Risk Release")*('Projects Overview'!Y$2:Y$5021))</f>
        <v>0</v>
      </c>
      <c r="Q88" s="104" cm="1">
        <f t="array" ref="Q88">SUMPRODUCT(('Projects Overview'!$B$2:$B$5021="Gearbox Drawworks")*('Projects Overview'!$G$2:$G$5021="Risk Release")*('Projects Overview'!Z$2:Z$5021))</f>
        <v>0</v>
      </c>
      <c r="R88" s="104" cm="1">
        <f t="array" ref="R88">SUMPRODUCT(('Projects Overview'!$B$2:$B$5021="Gearbox Drawworks")*('Projects Overview'!$G$2:$G$5021="Risk Release")*('Projects Overview'!AA$2:AA$5021))</f>
        <v>0</v>
      </c>
      <c r="S88" s="104" cm="1">
        <f t="array" ref="S88">SUMPRODUCT(('Projects Overview'!$B$2:$B$5021="Gearbox Drawworks")*('Projects Overview'!$G$2:$G$5021="Risk Release")*('Projects Overview'!AB$2:AB$5021))</f>
        <v>0</v>
      </c>
      <c r="T88" s="104" cm="1">
        <f t="array" ref="T88">SUMPRODUCT(('Projects Overview'!$B$2:$B$5021="Gearbox Drawworks")*('Projects Overview'!$G$2:$G$5021="Risk Release")*('Projects Overview'!AC$2:AC$5021))</f>
        <v>0</v>
      </c>
      <c r="U88" s="104" cm="1">
        <f t="array" ref="U88">SUMPRODUCT(('Projects Overview'!$B$2:$B$5021="Gearbox Drawworks")*('Projects Overview'!$G$2:$G$5021="Risk Release")*('Projects Overview'!AD$2:AD$5021))</f>
        <v>0</v>
      </c>
      <c r="V88" s="104" cm="1">
        <f t="array" ref="V88">SUMPRODUCT(('Projects Overview'!$B$2:$B$5021="Gearbox Drawworks")*('Projects Overview'!$G$2:$G$5021="Risk Release")*('Projects Overview'!AE$2:AE$5021))</f>
        <v>0</v>
      </c>
      <c r="W88" s="104" cm="1">
        <f t="array" ref="W88">SUMPRODUCT(('Projects Overview'!$B$2:$B$5021="Gearbox Drawworks")*('Projects Overview'!$G$2:$G$5021="Risk Release")*('Projects Overview'!AF$2:AF$5021))</f>
        <v>0</v>
      </c>
      <c r="X88" s="104" cm="1">
        <f t="array" ref="X88">SUMPRODUCT(('Projects Overview'!$B$2:$B$5021="Gearbox Drawworks")*('Projects Overview'!$G$2:$G$5021="Risk Release")*('Projects Overview'!AG$2:AG$5021))</f>
        <v>0</v>
      </c>
      <c r="Y88" s="104" cm="1">
        <f t="array" ref="Y88">SUMPRODUCT(('Projects Overview'!$B$2:$B$5021="Gearbox Drawworks")*('Projects Overview'!$G$2:$G$5021="Risk Release")*('Projects Overview'!AH$2:AH$5021))</f>
        <v>0</v>
      </c>
      <c r="Z88" s="104" cm="1">
        <f t="array" ref="Z88">SUMPRODUCT(('Projects Overview'!$B$2:$B$5021="Gearbox Drawworks")*('Projects Overview'!$G$2:$G$5021="Risk Release")*('Projects Overview'!AI$2:AI$5021))</f>
        <v>0</v>
      </c>
      <c r="AA88" s="104" cm="1">
        <f t="array" ref="AA88">SUMPRODUCT(('Projects Overview'!$B$2:$B$5021="Gearbox Drawworks")*('Projects Overview'!$G$2:$G$5021="Risk Release")*('Projects Overview'!AJ$2:AJ$5021))</f>
        <v>0</v>
      </c>
      <c r="AB88" s="104" cm="1">
        <f t="array" ref="AB88">SUMPRODUCT(('Projects Overview'!$B$2:$B$5021="Gearbox Drawworks")*('Projects Overview'!$G$2:$G$5021="Risk Release")*('Projects Overview'!AK$2:AK$5021))</f>
        <v>0</v>
      </c>
      <c r="AC88" s="104" cm="1">
        <f t="array" ref="AC88">SUMPRODUCT(('Projects Overview'!$B$2:$B$5021="Gearbox Drawworks")*('Projects Overview'!$G$2:$G$5021="Risk Release")*('Projects Overview'!AL$2:AL$5021))</f>
        <v>0</v>
      </c>
      <c r="AD88" s="104" cm="1">
        <f t="array" ref="AD88">SUMPRODUCT(('Projects Overview'!$B$2:$B$5021="Gearbox Drawworks")*('Projects Overview'!$G$2:$G$5021="Risk Release")*('Projects Overview'!AM$2:AM$5021))</f>
        <v>0</v>
      </c>
      <c r="AE88" s="104" cm="1">
        <f t="array" ref="AE88">SUMPRODUCT(('Projects Overview'!$B$2:$B$5021="Gearbox Drawworks")*('Projects Overview'!$G$2:$G$5021="Risk Release")*('Projects Overview'!AN$2:AN$5021))</f>
        <v>0</v>
      </c>
      <c r="AF88" s="104" cm="1">
        <f t="array" ref="AF88">SUMPRODUCT(('Projects Overview'!$B$2:$B$5021="Gearbox Drawworks")*('Projects Overview'!$G$2:$G$5021="Risk Release")*('Projects Overview'!AO$2:AO$5021))</f>
        <v>0</v>
      </c>
      <c r="AG88" s="104" cm="1">
        <f t="array" ref="AG88">SUMPRODUCT(('Projects Overview'!$B$2:$B$5021="Gearbox Drawworks")*('Projects Overview'!$G$2:$G$5021="Risk Release")*('Projects Overview'!AP$2:AP$5021))</f>
        <v>0</v>
      </c>
      <c r="AH88" s="104" cm="1">
        <f t="array" ref="AH88">SUMPRODUCT(('Projects Overview'!$B$2:$B$5021="Gearbox Drawworks")*('Projects Overview'!$G$2:$G$5021="Risk Release")*('Projects Overview'!AQ$2:AQ$5021))</f>
        <v>0</v>
      </c>
      <c r="AI88" s="104" cm="1">
        <f t="array" ref="AI88">SUMPRODUCT(('Projects Overview'!$B$2:$B$5021="Gearbox Drawworks")*('Projects Overview'!$G$2:$G$5021="Risk Release")*('Projects Overview'!AR$2:AR$5021))</f>
        <v>0</v>
      </c>
      <c r="AJ88" s="104" cm="1">
        <f t="array" ref="AJ88">SUMPRODUCT(('Projects Overview'!$B$2:$B$5021="Gearbox Drawworks")*('Projects Overview'!$G$2:$G$5021="Risk Release")*('Projects Overview'!AS$2:AS$5021))</f>
        <v>0</v>
      </c>
      <c r="AK88" s="104" cm="1">
        <f t="array" ref="AK88">SUMPRODUCT(('Projects Overview'!$B$2:$B$5021="Gearbox Drawworks")*('Projects Overview'!$G$2:$G$5021="Risk Release")*('Projects Overview'!AT$2:AT$5021))</f>
        <v>0</v>
      </c>
      <c r="AL88" s="104" cm="1">
        <f t="array" ref="AL88">SUMPRODUCT(('Projects Overview'!$B$2:$B$5021="Gearbox Drawworks")*('Projects Overview'!$G$2:$G$5021="Risk Release")*('Projects Overview'!AU$2:AU$5021))</f>
        <v>0</v>
      </c>
      <c r="AM88" s="104" cm="1">
        <f t="array" ref="AM88">SUMPRODUCT(('Projects Overview'!$B$2:$B$5021="Gearbox Drawworks")*('Projects Overview'!$G$2:$G$5021="Risk Release")*('Projects Overview'!AV$2:AV$5021))</f>
        <v>0</v>
      </c>
    </row>
    <row r="89" spans="1:40" x14ac:dyDescent="0.35">
      <c r="A89" s="222"/>
      <c r="B89" s="228"/>
      <c r="C89" s="3" t="s">
        <v>8</v>
      </c>
      <c r="D89" s="104">
        <v>0</v>
      </c>
      <c r="E89" s="104">
        <v>0</v>
      </c>
      <c r="F89" s="104">
        <v>0</v>
      </c>
      <c r="G89" s="104">
        <v>0</v>
      </c>
      <c r="H89" s="104">
        <v>0</v>
      </c>
      <c r="I89" s="104" cm="1">
        <f t="array" ref="I89">SUMPRODUCT(('Projects Overview'!$B$2:$B$5021="Gearbox Drawworks")*('Projects Overview'!$G$2:$G$5021="Forecast")*('Projects Overview'!R$2:R$5021))</f>
        <v>0</v>
      </c>
      <c r="J89" s="104" cm="1">
        <f t="array" ref="J89">SUMPRODUCT(('Projects Overview'!$B$2:$B$5021="Gearbox Drawworks")*('Projects Overview'!$G$2:$G$5021="Forecast")*('Projects Overview'!S$2:S$5021))</f>
        <v>0</v>
      </c>
      <c r="K89" s="104" cm="1">
        <f t="array" ref="K89">SUMPRODUCT(('Projects Overview'!$B$2:$B$5021="Gearbox Drawworks")*('Projects Overview'!$G$2:$G$5021="Forecast")*('Projects Overview'!T$2:T$5021))</f>
        <v>0</v>
      </c>
      <c r="L89" s="104" cm="1">
        <f t="array" ref="L89">SUMPRODUCT(('Projects Overview'!$B$2:$B$5021="Gearbox Drawworks")*('Projects Overview'!$G$2:$G$5021="Forecast")*('Projects Overview'!U$2:U$5021))</f>
        <v>0</v>
      </c>
      <c r="M89" s="104" cm="1">
        <f t="array" ref="M89">SUMPRODUCT(('Projects Overview'!$B$2:$B$5021="Gearbox Drawworks")*('Projects Overview'!$G$2:$G$5021="Forecast")*('Projects Overview'!V$2:V$5021))</f>
        <v>0</v>
      </c>
      <c r="N89" s="104" cm="1">
        <f t="array" ref="N89">SUMPRODUCT(('Projects Overview'!$B$2:$B$5021="Gearbox Drawworks")*('Projects Overview'!$G$2:$G$5021="Forecast")*('Projects Overview'!W$2:W$5021))</f>
        <v>0</v>
      </c>
      <c r="O89" s="104" cm="1">
        <f t="array" ref="O89">SUMPRODUCT(('Projects Overview'!$B$2:$B$5021="Gearbox Drawworks")*('Projects Overview'!$G$2:$G$5021="Forecast")*('Projects Overview'!X$2:X$5021))</f>
        <v>0</v>
      </c>
      <c r="P89" s="104" cm="1">
        <f t="array" ref="P89">SUMPRODUCT(('Projects Overview'!$B$2:$B$5021="Gearbox Drawworks")*('Projects Overview'!$G$2:$G$5021="Forecast")*('Projects Overview'!Y$2:Y$5021))</f>
        <v>0</v>
      </c>
      <c r="Q89" s="104" cm="1">
        <f t="array" ref="Q89">SUMPRODUCT(('Projects Overview'!$B$2:$B$5021="Gearbox Drawworks")*('Projects Overview'!$G$2:$G$5021="Forecast")*('Projects Overview'!Z$2:Z$5021))</f>
        <v>0</v>
      </c>
      <c r="R89" s="104" cm="1">
        <f t="array" ref="R89">SUMPRODUCT(('Projects Overview'!$B$2:$B$5021="Gearbox Drawworks")*('Projects Overview'!$G$2:$G$5021="Forecast")*('Projects Overview'!AA$2:AA$5021))</f>
        <v>0</v>
      </c>
      <c r="S89" s="104" cm="1">
        <f t="array" ref="S89">SUMPRODUCT(('Projects Overview'!$B$2:$B$5021="Gearbox Drawworks")*('Projects Overview'!$G$2:$G$5021="Forecast")*('Projects Overview'!AB$2:AB$5021))</f>
        <v>0</v>
      </c>
      <c r="T89" s="104" cm="1">
        <f t="array" ref="T89">SUMPRODUCT(('Projects Overview'!$B$2:$B$5021="Gearbox Drawworks")*('Projects Overview'!$G$2:$G$5021="Forecast")*('Projects Overview'!AC$2:AC$5021))</f>
        <v>0</v>
      </c>
      <c r="U89" s="104" cm="1">
        <f t="array" ref="U89">SUMPRODUCT(('Projects Overview'!$B$2:$B$5021="Gearbox Drawworks")*('Projects Overview'!$G$2:$G$5021="Forecast")*('Projects Overview'!AD$2:AD$5021))</f>
        <v>0</v>
      </c>
      <c r="V89" s="104" cm="1">
        <f t="array" ref="V89">SUMPRODUCT(('Projects Overview'!$B$2:$B$5021="Gearbox Drawworks")*('Projects Overview'!$G$2:$G$5021="Forecast")*('Projects Overview'!AE$2:AE$5021))</f>
        <v>0</v>
      </c>
      <c r="W89" s="104" cm="1">
        <f t="array" ref="W89">SUMPRODUCT(('Projects Overview'!$B$2:$B$5021="Gearbox Drawworks")*('Projects Overview'!$G$2:$G$5021="Forecast")*('Projects Overview'!AF$2:AF$5021))</f>
        <v>0</v>
      </c>
      <c r="X89" s="104" cm="1">
        <f t="array" ref="X89">SUMPRODUCT(('Projects Overview'!$B$2:$B$5021="Gearbox Drawworks")*('Projects Overview'!$G$2:$G$5021="Forecast")*('Projects Overview'!AG$2:AG$5021))</f>
        <v>0</v>
      </c>
      <c r="Y89" s="104" cm="1">
        <f t="array" ref="Y89">SUMPRODUCT(('Projects Overview'!$B$2:$B$5021="Gearbox Drawworks")*('Projects Overview'!$G$2:$G$5021="Forecast")*('Projects Overview'!AH$2:AH$5021))</f>
        <v>0</v>
      </c>
      <c r="Z89" s="104" cm="1">
        <f t="array" ref="Z89">SUMPRODUCT(('Projects Overview'!$B$2:$B$5021="Gearbox Drawworks")*('Projects Overview'!$G$2:$G$5021="Forecast")*('Projects Overview'!AI$2:AI$5021))</f>
        <v>0</v>
      </c>
      <c r="AA89" s="104" cm="1">
        <f t="array" ref="AA89">SUMPRODUCT(('Projects Overview'!$B$2:$B$5021="Gearbox Drawworks")*('Projects Overview'!$G$2:$G$5021="Forecast")*('Projects Overview'!AJ$2:AJ$5021))</f>
        <v>0</v>
      </c>
      <c r="AB89" s="104" cm="1">
        <f t="array" ref="AB89">SUMPRODUCT(('Projects Overview'!$B$2:$B$5021="Gearbox Drawworks")*('Projects Overview'!$G$2:$G$5021="Forecast")*('Projects Overview'!AK$2:AK$5021))</f>
        <v>0</v>
      </c>
      <c r="AC89" s="104" cm="1">
        <f t="array" ref="AC89">SUMPRODUCT(('Projects Overview'!$B$2:$B$5021="Gearbox Drawworks")*('Projects Overview'!$G$2:$G$5021="Forecast")*('Projects Overview'!AL$2:AL$5021))</f>
        <v>0</v>
      </c>
      <c r="AD89" s="104" cm="1">
        <f t="array" ref="AD89">SUMPRODUCT(('Projects Overview'!$B$2:$B$5021="Gearbox Drawworks")*('Projects Overview'!$G$2:$G$5021="Forecast")*('Projects Overview'!AM$2:AM$5021))</f>
        <v>0</v>
      </c>
      <c r="AE89" s="104" cm="1">
        <f t="array" ref="AE89">SUMPRODUCT(('Projects Overview'!$B$2:$B$5021="Gearbox Drawworks")*('Projects Overview'!$G$2:$G$5021="Forecast")*('Projects Overview'!AN$2:AN$5021))</f>
        <v>0</v>
      </c>
      <c r="AF89" s="104" cm="1">
        <f t="array" ref="AF89">SUMPRODUCT(('Projects Overview'!$B$2:$B$5021="Gearbox Drawworks")*('Projects Overview'!$G$2:$G$5021="Forecast")*('Projects Overview'!AO$2:AO$5021))</f>
        <v>0</v>
      </c>
      <c r="AG89" s="104" cm="1">
        <f t="array" ref="AG89">SUMPRODUCT(('Projects Overview'!$B$2:$B$5021="Gearbox Drawworks")*('Projects Overview'!$G$2:$G$5021="Forecast")*('Projects Overview'!AP$2:AP$5021))</f>
        <v>0</v>
      </c>
      <c r="AH89" s="104" cm="1">
        <f t="array" ref="AH89">SUMPRODUCT(('Projects Overview'!$B$2:$B$5021="Gearbox Drawworks")*('Projects Overview'!$G$2:$G$5021="Forecast")*('Projects Overview'!AQ$2:AQ$5021))</f>
        <v>0</v>
      </c>
      <c r="AI89" s="104" cm="1">
        <f t="array" ref="AI89">SUMPRODUCT(('Projects Overview'!$B$2:$B$5021="Gearbox Drawworks")*('Projects Overview'!$G$2:$G$5021="Forecast")*('Projects Overview'!AR$2:AR$5021))</f>
        <v>0</v>
      </c>
      <c r="AJ89" s="104" cm="1">
        <f t="array" ref="AJ89">SUMPRODUCT(('Projects Overview'!$B$2:$B$5021="Gearbox Drawworks")*('Projects Overview'!$G$2:$G$5021="Forecast")*('Projects Overview'!AS$2:AS$5021))</f>
        <v>0</v>
      </c>
      <c r="AK89" s="104" cm="1">
        <f t="array" ref="AK89">SUMPRODUCT(('Projects Overview'!$B$2:$B$5021="Gearbox Drawworks")*('Projects Overview'!$G$2:$G$5021="Forecast")*('Projects Overview'!AT$2:AT$5021))</f>
        <v>0</v>
      </c>
      <c r="AL89" s="104" cm="1">
        <f t="array" ref="AL89">SUMPRODUCT(('Projects Overview'!$B$2:$B$5021="Gearbox Drawworks")*('Projects Overview'!$G$2:$G$5021="Forecast")*('Projects Overview'!AU$2:AU$5021))</f>
        <v>0</v>
      </c>
      <c r="AM89" s="104" cm="1">
        <f t="array" ref="AM89">SUMPRODUCT(('Projects Overview'!$B$2:$B$5021="Gearbox Drawworks")*('Projects Overview'!$G$2:$G$5021="Forecast")*('Projects Overview'!AV$2:AV$5021))</f>
        <v>0</v>
      </c>
    </row>
    <row r="90" spans="1:40" ht="14.25" customHeight="1" x14ac:dyDescent="0.35">
      <c r="A90" s="222"/>
      <c r="B90" s="227" t="s">
        <v>152</v>
      </c>
      <c r="C90" s="4" t="s">
        <v>4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  <c r="I90" s="104" cm="1">
        <f t="array" ref="I90">SUMPRODUCT(('Projects Overview'!$B$2:$B$5021="BRC Hydraulic Cylinders")*('Projects Overview'!$G$2:$G$5021="Firm")*('Projects Overview'!R$2:R$5021))</f>
        <v>0</v>
      </c>
      <c r="J90" s="104" cm="1">
        <f t="array" ref="J90">SUMPRODUCT(('Projects Overview'!$B$2:$B$5021="BRC Hydraulic Cylinders")*('Projects Overview'!$G$2:$G$5021="Firm")*('Projects Overview'!S$2:S$5021))</f>
        <v>0</v>
      </c>
      <c r="K90" s="104" cm="1">
        <f t="array" ref="K90">SUMPRODUCT(('Projects Overview'!$B$2:$B$5021="BRC Hydraulic Cylinders")*('Projects Overview'!$G$2:$G$5021="Firm")*('Projects Overview'!T$2:T$5021))</f>
        <v>0</v>
      </c>
      <c r="L90" s="104" cm="1">
        <f t="array" ref="L90">SUMPRODUCT(('Projects Overview'!$B$2:$B$5021="BRC Hydraulic Cylinders")*('Projects Overview'!$G$2:$G$5021="Firm")*('Projects Overview'!U$2:U$5021))</f>
        <v>0</v>
      </c>
      <c r="M90" s="104" cm="1">
        <f t="array" ref="M90">SUMPRODUCT(('Projects Overview'!$B$2:$B$5021="BRC Hydraulic Cylinders")*('Projects Overview'!$G$2:$G$5021="Firm")*('Projects Overview'!V$2:V$5021))</f>
        <v>0</v>
      </c>
      <c r="N90" s="104" cm="1">
        <f t="array" ref="N90">SUMPRODUCT(('Projects Overview'!$B$2:$B$5021="BRC Hydraulic Cylinders")*('Projects Overview'!$G$2:$G$5021="Firm")*('Projects Overview'!W$2:W$5021))</f>
        <v>0</v>
      </c>
      <c r="O90" s="104" cm="1">
        <f t="array" ref="O90">SUMPRODUCT(('Projects Overview'!$B$2:$B$5021="BRC Hydraulic Cylinders")*('Projects Overview'!$G$2:$G$5021="Firm")*('Projects Overview'!X$2:X$5021))</f>
        <v>0</v>
      </c>
      <c r="P90" s="104" cm="1">
        <f t="array" ref="P90">SUMPRODUCT(('Projects Overview'!$B$2:$B$5021="BRC Hydraulic Cylinders")*('Projects Overview'!$G$2:$G$5021="Firm")*('Projects Overview'!Y$2:Y$5021))</f>
        <v>0</v>
      </c>
      <c r="Q90" s="104" cm="1">
        <f t="array" ref="Q90">SUMPRODUCT(('Projects Overview'!$B$2:$B$5021="BRC Hydraulic Cylinders")*('Projects Overview'!$G$2:$G$5021="Firm")*('Projects Overview'!Z$2:Z$5021))</f>
        <v>0</v>
      </c>
      <c r="R90" s="104" cm="1">
        <f t="array" ref="R90">SUMPRODUCT(('Projects Overview'!$B$2:$B$5021="BRC Hydraulic Cylinders")*('Projects Overview'!$G$2:$G$5021="Firm")*('Projects Overview'!AA$2:AA$5021))</f>
        <v>0</v>
      </c>
      <c r="S90" s="104" cm="1">
        <f t="array" ref="S90">SUMPRODUCT(('Projects Overview'!$B$2:$B$5021="BRC Hydraulic Cylinders")*('Projects Overview'!$G$2:$G$5021="Firm")*('Projects Overview'!AB$2:AB$5021))</f>
        <v>0</v>
      </c>
      <c r="T90" s="104" cm="1">
        <f t="array" ref="T90">SUMPRODUCT(('Projects Overview'!$B$2:$B$5021="BRC Hydraulic Cylinders")*('Projects Overview'!$G$2:$G$5021="Firm")*('Projects Overview'!AC$2:AC$5021))</f>
        <v>0</v>
      </c>
      <c r="U90" s="104" cm="1">
        <f t="array" ref="U90">SUMPRODUCT(('Projects Overview'!$B$2:$B$5021="BRC Hydraulic Cylinders")*('Projects Overview'!$G$2:$G$5021="Firm")*('Projects Overview'!AD$2:AD$5021))</f>
        <v>0</v>
      </c>
      <c r="V90" s="104" cm="1">
        <f t="array" ref="V90">SUMPRODUCT(('Projects Overview'!$B$2:$B$5021="BRC Hydraulic Cylinders")*('Projects Overview'!$G$2:$G$5021="Firm")*('Projects Overview'!AE$2:AE$5021))</f>
        <v>0</v>
      </c>
      <c r="W90" s="104" cm="1">
        <f t="array" ref="W90">SUMPRODUCT(('Projects Overview'!$B$2:$B$5021="BRC Hydraulic Cylinders")*('Projects Overview'!$G$2:$G$5021="Firm")*('Projects Overview'!AF$2:AF$5021))</f>
        <v>0</v>
      </c>
      <c r="X90" s="104" cm="1">
        <f t="array" ref="X90">SUMPRODUCT(('Projects Overview'!$B$2:$B$5021="BRC Hydraulic Cylinders")*('Projects Overview'!$G$2:$G$5021="Firm")*('Projects Overview'!AG$2:AG$5021))</f>
        <v>0</v>
      </c>
      <c r="Y90" s="104" cm="1">
        <f t="array" ref="Y90">SUMPRODUCT(('Projects Overview'!$B$2:$B$5021="BRC Hydraulic Cylinders")*('Projects Overview'!$G$2:$G$5021="Firm")*('Projects Overview'!AH$2:AH$5021))</f>
        <v>0</v>
      </c>
      <c r="Z90" s="104" cm="1">
        <f t="array" ref="Z90">SUMPRODUCT(('Projects Overview'!$B$2:$B$5021="BRC Hydraulic Cylinders")*('Projects Overview'!$G$2:$G$5021="Firm")*('Projects Overview'!AI$2:AI$5021))</f>
        <v>0</v>
      </c>
      <c r="AA90" s="104" cm="1">
        <f t="array" ref="AA90">SUMPRODUCT(('Projects Overview'!$B$2:$B$5021="BRC Hydraulic Cylinders")*('Projects Overview'!$G$2:$G$5021="Firm")*('Projects Overview'!AJ$2:AJ$5021))</f>
        <v>0</v>
      </c>
      <c r="AB90" s="104" cm="1">
        <f t="array" ref="AB90">SUMPRODUCT(('Projects Overview'!$B$2:$B$5021="BRC Hydraulic Cylinders")*('Projects Overview'!$G$2:$G$5021="Firm")*('Projects Overview'!AK$2:AK$5021))</f>
        <v>0</v>
      </c>
      <c r="AC90" s="104" cm="1">
        <f t="array" ref="AC90">SUMPRODUCT(('Projects Overview'!$B$2:$B$5021="BRC Hydraulic Cylinders")*('Projects Overview'!$G$2:$G$5021="Firm")*('Projects Overview'!AL$2:AL$5021))</f>
        <v>0</v>
      </c>
      <c r="AD90" s="104" cm="1">
        <f t="array" ref="AD90">SUMPRODUCT(('Projects Overview'!$B$2:$B$5021="BRC Hydraulic Cylinders")*('Projects Overview'!$G$2:$G$5021="Firm")*('Projects Overview'!AM$2:AM$5021))</f>
        <v>0</v>
      </c>
      <c r="AE90" s="104" cm="1">
        <f t="array" ref="AE90">SUMPRODUCT(('Projects Overview'!$B$2:$B$5021="BRC Hydraulic Cylinders")*('Projects Overview'!$G$2:$G$5021="Firm")*('Projects Overview'!AN$2:AN$5021))</f>
        <v>0</v>
      </c>
      <c r="AF90" s="104" cm="1">
        <f t="array" ref="AF90">SUMPRODUCT(('Projects Overview'!$B$2:$B$5021="BRC Hydraulic Cylinders")*('Projects Overview'!$G$2:$G$5021="Firm")*('Projects Overview'!AO$2:AO$5021))</f>
        <v>0</v>
      </c>
      <c r="AG90" s="104" cm="1">
        <f t="array" ref="AG90">SUMPRODUCT(('Projects Overview'!$B$2:$B$5021="BRC Hydraulic Cylinders")*('Projects Overview'!$G$2:$G$5021="Firm")*('Projects Overview'!AP$2:AP$5021))</f>
        <v>0</v>
      </c>
      <c r="AH90" s="104" cm="1">
        <f t="array" ref="AH90">SUMPRODUCT(('Projects Overview'!$B$2:$B$5021="BRC Hydraulic Cylinders")*('Projects Overview'!$G$2:$G$5021="Firm")*('Projects Overview'!AQ$2:AQ$5021))</f>
        <v>0</v>
      </c>
      <c r="AI90" s="104" cm="1">
        <f t="array" ref="AI90">SUMPRODUCT(('Projects Overview'!$B$2:$B$5021="BRC Hydraulic Cylinders")*('Projects Overview'!$G$2:$G$5021="Firm")*('Projects Overview'!AR$2:AR$5021))</f>
        <v>0</v>
      </c>
      <c r="AJ90" s="104" cm="1">
        <f t="array" ref="AJ90">SUMPRODUCT(('Projects Overview'!$B$2:$B$5021="BRC Hydraulic Cylinders")*('Projects Overview'!$G$2:$G$5021="Firm")*('Projects Overview'!AS$2:AS$5021))</f>
        <v>0</v>
      </c>
      <c r="AK90" s="104" cm="1">
        <f t="array" ref="AK90">SUMPRODUCT(('Projects Overview'!$B$2:$B$5021="BRC Hydraulic Cylinders")*('Projects Overview'!$G$2:$G$5021="Firm")*('Projects Overview'!AT$2:AT$5021))</f>
        <v>0</v>
      </c>
      <c r="AL90" s="104" cm="1">
        <f t="array" ref="AL90">SUMPRODUCT(('Projects Overview'!$B$2:$B$5021="BRC Hydraulic Cylinders")*('Projects Overview'!$G$2:$G$5021="Firm")*('Projects Overview'!AU$2:AU$5021))</f>
        <v>0</v>
      </c>
      <c r="AM90" s="104" cm="1">
        <f t="array" ref="AM90">SUMPRODUCT(('Projects Overview'!$B$2:$B$5021="BRC Hydraulic Cylinders")*('Projects Overview'!$G$2:$G$5021="Firm")*('Projects Overview'!AV$2:AV$5021))</f>
        <v>0</v>
      </c>
    </row>
    <row r="91" spans="1:40" x14ac:dyDescent="0.35">
      <c r="A91" s="222"/>
      <c r="B91" s="227"/>
      <c r="C91" s="2" t="s">
        <v>6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 cm="1">
        <f t="array" ref="I91">SUMPRODUCT(('Projects Overview'!$B$2:$B$5021="BRC Hydraulic Cylinders")*('Projects Overview'!$G$2:$G$5021="Risk Release")*('Projects Overview'!R$2:R$5021))</f>
        <v>0</v>
      </c>
      <c r="J91" s="104" cm="1">
        <f t="array" ref="J91">SUMPRODUCT(('Projects Overview'!$B$2:$B$5021="BRC Hydraulic Cylinders")*('Projects Overview'!$G$2:$G$5021="Risk Release")*('Projects Overview'!S$2:S$5021))</f>
        <v>0</v>
      </c>
      <c r="K91" s="104" cm="1">
        <f t="array" ref="K91">SUMPRODUCT(('Projects Overview'!$B$2:$B$5021="BRC Hydraulic Cylinders")*('Projects Overview'!$G$2:$G$5021="Risk Release")*('Projects Overview'!T$2:T$5021))</f>
        <v>0</v>
      </c>
      <c r="L91" s="104" cm="1">
        <f t="array" ref="L91">SUMPRODUCT(('Projects Overview'!$B$2:$B$5021="BRC Hydraulic Cylinders")*('Projects Overview'!$G$2:$G$5021="Risk Release")*('Projects Overview'!U$2:U$5021))</f>
        <v>0</v>
      </c>
      <c r="M91" s="104" cm="1">
        <f t="array" ref="M91">SUMPRODUCT(('Projects Overview'!$B$2:$B$5021="BRC Hydraulic Cylinders")*('Projects Overview'!$G$2:$G$5021="Risk Release")*('Projects Overview'!V$2:V$5021))</f>
        <v>0</v>
      </c>
      <c r="N91" s="104" cm="1">
        <f t="array" ref="N91">SUMPRODUCT(('Projects Overview'!$B$2:$B$5021="BRC Hydraulic Cylinders")*('Projects Overview'!$G$2:$G$5021="Risk Release")*('Projects Overview'!W$2:W$5021))</f>
        <v>0</v>
      </c>
      <c r="O91" s="104" cm="1">
        <f t="array" ref="O91">SUMPRODUCT(('Projects Overview'!$B$2:$B$5021="BRC Hydraulic Cylinders")*('Projects Overview'!$G$2:$G$5021="Risk Release")*('Projects Overview'!X$2:X$5021))</f>
        <v>0</v>
      </c>
      <c r="P91" s="104" cm="1">
        <f t="array" ref="P91">SUMPRODUCT(('Projects Overview'!$B$2:$B$5021="BRC Hydraulic Cylinders")*('Projects Overview'!$G$2:$G$5021="Risk Release")*('Projects Overview'!Y$2:Y$5021))</f>
        <v>0</v>
      </c>
      <c r="Q91" s="104" cm="1">
        <f t="array" ref="Q91">SUMPRODUCT(('Projects Overview'!$B$2:$B$5021="BRC Hydraulic Cylinders")*('Projects Overview'!$G$2:$G$5021="Risk Release")*('Projects Overview'!Z$2:Z$5021))</f>
        <v>0</v>
      </c>
      <c r="R91" s="104" cm="1">
        <f t="array" ref="R91">SUMPRODUCT(('Projects Overview'!$B$2:$B$5021="BRC Hydraulic Cylinders")*('Projects Overview'!$G$2:$G$5021="Risk Release")*('Projects Overview'!AA$2:AA$5021))</f>
        <v>0</v>
      </c>
      <c r="S91" s="104" cm="1">
        <f t="array" ref="S91">SUMPRODUCT(('Projects Overview'!$B$2:$B$5021="BRC Hydraulic Cylinders")*('Projects Overview'!$G$2:$G$5021="Risk Release")*('Projects Overview'!AB$2:AB$5021))</f>
        <v>0</v>
      </c>
      <c r="T91" s="104" cm="1">
        <f t="array" ref="T91">SUMPRODUCT(('Projects Overview'!$B$2:$B$5021="BRC Hydraulic Cylinders")*('Projects Overview'!$G$2:$G$5021="Risk Release")*('Projects Overview'!AC$2:AC$5021))</f>
        <v>0</v>
      </c>
      <c r="U91" s="104" cm="1">
        <f t="array" ref="U91">SUMPRODUCT(('Projects Overview'!$B$2:$B$5021="BRC Hydraulic Cylinders")*('Projects Overview'!$G$2:$G$5021="Risk Release")*('Projects Overview'!AD$2:AD$5021))</f>
        <v>0</v>
      </c>
      <c r="V91" s="104" cm="1">
        <f t="array" ref="V91">SUMPRODUCT(('Projects Overview'!$B$2:$B$5021="BRC Hydraulic Cylinders")*('Projects Overview'!$G$2:$G$5021="Risk Release")*('Projects Overview'!AE$2:AE$5021))</f>
        <v>0</v>
      </c>
      <c r="W91" s="104" cm="1">
        <f t="array" ref="W91">SUMPRODUCT(('Projects Overview'!$B$2:$B$5021="BRC Hydraulic Cylinders")*('Projects Overview'!$G$2:$G$5021="Risk Release")*('Projects Overview'!AF$2:AF$5021))</f>
        <v>0</v>
      </c>
      <c r="X91" s="104" cm="1">
        <f t="array" ref="X91">SUMPRODUCT(('Projects Overview'!$B$2:$B$5021="BRC Hydraulic Cylinders")*('Projects Overview'!$G$2:$G$5021="Risk Release")*('Projects Overview'!AG$2:AG$5021))</f>
        <v>0</v>
      </c>
      <c r="Y91" s="104" cm="1">
        <f t="array" ref="Y91">SUMPRODUCT(('Projects Overview'!$B$2:$B$5021="BRC Hydraulic Cylinders")*('Projects Overview'!$G$2:$G$5021="Risk Release")*('Projects Overview'!AH$2:AH$5021))</f>
        <v>0</v>
      </c>
      <c r="Z91" s="104" cm="1">
        <f t="array" ref="Z91">SUMPRODUCT(('Projects Overview'!$B$2:$B$5021="BRC Hydraulic Cylinders")*('Projects Overview'!$G$2:$G$5021="Risk Release")*('Projects Overview'!AI$2:AI$5021))</f>
        <v>0</v>
      </c>
      <c r="AA91" s="104" cm="1">
        <f t="array" ref="AA91">SUMPRODUCT(('Projects Overview'!$B$2:$B$5021="BRC Hydraulic Cylinders")*('Projects Overview'!$G$2:$G$5021="Risk Release")*('Projects Overview'!AJ$2:AJ$5021))</f>
        <v>0</v>
      </c>
      <c r="AB91" s="104" cm="1">
        <f t="array" ref="AB91">SUMPRODUCT(('Projects Overview'!$B$2:$B$5021="BRC Hydraulic Cylinders")*('Projects Overview'!$G$2:$G$5021="Risk Release")*('Projects Overview'!AK$2:AK$5021))</f>
        <v>0</v>
      </c>
      <c r="AC91" s="104" cm="1">
        <f t="array" ref="AC91">SUMPRODUCT(('Projects Overview'!$B$2:$B$5021="BRC Hydraulic Cylinders")*('Projects Overview'!$G$2:$G$5021="Risk Release")*('Projects Overview'!AL$2:AL$5021))</f>
        <v>0</v>
      </c>
      <c r="AD91" s="104" cm="1">
        <f t="array" ref="AD91">SUMPRODUCT(('Projects Overview'!$B$2:$B$5021="BRC Hydraulic Cylinders")*('Projects Overview'!$G$2:$G$5021="Risk Release")*('Projects Overview'!AM$2:AM$5021))</f>
        <v>0</v>
      </c>
      <c r="AE91" s="104" cm="1">
        <f t="array" ref="AE91">SUMPRODUCT(('Projects Overview'!$B$2:$B$5021="BRC Hydraulic Cylinders")*('Projects Overview'!$G$2:$G$5021="Risk Release")*('Projects Overview'!AN$2:AN$5021))</f>
        <v>0</v>
      </c>
      <c r="AF91" s="104" cm="1">
        <f t="array" ref="AF91">SUMPRODUCT(('Projects Overview'!$B$2:$B$5021="BRC Hydraulic Cylinders")*('Projects Overview'!$G$2:$G$5021="Risk Release")*('Projects Overview'!AO$2:AO$5021))</f>
        <v>0</v>
      </c>
      <c r="AG91" s="104" cm="1">
        <f t="array" ref="AG91">SUMPRODUCT(('Projects Overview'!$B$2:$B$5021="BRC Hydraulic Cylinders")*('Projects Overview'!$G$2:$G$5021="Risk Release")*('Projects Overview'!AP$2:AP$5021))</f>
        <v>0</v>
      </c>
      <c r="AH91" s="104" cm="1">
        <f t="array" ref="AH91">SUMPRODUCT(('Projects Overview'!$B$2:$B$5021="BRC Hydraulic Cylinders")*('Projects Overview'!$G$2:$G$5021="Risk Release")*('Projects Overview'!AQ$2:AQ$5021))</f>
        <v>0</v>
      </c>
      <c r="AI91" s="104" cm="1">
        <f t="array" ref="AI91">SUMPRODUCT(('Projects Overview'!$B$2:$B$5021="BRC Hydraulic Cylinders")*('Projects Overview'!$G$2:$G$5021="Risk Release")*('Projects Overview'!AR$2:AR$5021))</f>
        <v>0</v>
      </c>
      <c r="AJ91" s="104" cm="1">
        <f t="array" ref="AJ91">SUMPRODUCT(('Projects Overview'!$B$2:$B$5021="BRC Hydraulic Cylinders")*('Projects Overview'!$G$2:$G$5021="Risk Release")*('Projects Overview'!AS$2:AS$5021))</f>
        <v>0</v>
      </c>
      <c r="AK91" s="104" cm="1">
        <f t="array" ref="AK91">SUMPRODUCT(('Projects Overview'!$B$2:$B$5021="BRC Hydraulic Cylinders")*('Projects Overview'!$G$2:$G$5021="Risk Release")*('Projects Overview'!AT$2:AT$5021))</f>
        <v>0</v>
      </c>
      <c r="AL91" s="104" cm="1">
        <f t="array" ref="AL91">SUMPRODUCT(('Projects Overview'!$B$2:$B$5021="BRC Hydraulic Cylinders")*('Projects Overview'!$G$2:$G$5021="Risk Release")*('Projects Overview'!AU$2:AU$5021))</f>
        <v>0</v>
      </c>
      <c r="AM91" s="104" cm="1">
        <f t="array" ref="AM91">SUMPRODUCT(('Projects Overview'!$B$2:$B$5021="BRC Hydraulic Cylinders")*('Projects Overview'!$G$2:$G$5021="Risk Release")*('Projects Overview'!AV$2:AV$5021))</f>
        <v>0</v>
      </c>
    </row>
    <row r="92" spans="1:40" x14ac:dyDescent="0.35">
      <c r="A92" s="222"/>
      <c r="B92" s="228"/>
      <c r="C92" s="3" t="s">
        <v>8</v>
      </c>
      <c r="D92" s="104">
        <v>0</v>
      </c>
      <c r="E92" s="104">
        <v>0</v>
      </c>
      <c r="F92" s="104">
        <v>0</v>
      </c>
      <c r="G92" s="104">
        <v>0</v>
      </c>
      <c r="H92" s="104">
        <v>0</v>
      </c>
      <c r="I92" s="104" cm="1">
        <f t="array" ref="I92">SUMPRODUCT(('Projects Overview'!$B$2:$B$5021="BRC Hydraulic Cylinders")*('Projects Overview'!$G$2:$G$5021="Forecast")*('Projects Overview'!R$2:R$5021))</f>
        <v>0</v>
      </c>
      <c r="J92" s="104" cm="1">
        <f t="array" ref="J92">SUMPRODUCT(('Projects Overview'!$B$2:$B$5021="BRC Hydraulic Cylinders")*('Projects Overview'!$G$2:$G$5021="Forecast")*('Projects Overview'!S$2:S$5021))</f>
        <v>0</v>
      </c>
      <c r="K92" s="104" cm="1">
        <f t="array" ref="K92">SUMPRODUCT(('Projects Overview'!$B$2:$B$5021="BRC Hydraulic Cylinders")*('Projects Overview'!$G$2:$G$5021="Forecast")*('Projects Overview'!T$2:T$5021))</f>
        <v>0</v>
      </c>
      <c r="L92" s="104" cm="1">
        <f t="array" ref="L92">SUMPRODUCT(('Projects Overview'!$B$2:$B$5021="BRC Hydraulic Cylinders")*('Projects Overview'!$G$2:$G$5021="Forecast")*('Projects Overview'!U$2:U$5021))</f>
        <v>0</v>
      </c>
      <c r="M92" s="104" cm="1">
        <f t="array" ref="M92">SUMPRODUCT(('Projects Overview'!$B$2:$B$5021="BRC Hydraulic Cylinders")*('Projects Overview'!$G$2:$G$5021="Forecast")*('Projects Overview'!V$2:V$5021))</f>
        <v>0</v>
      </c>
      <c r="N92" s="104" cm="1">
        <f t="array" ref="N92">SUMPRODUCT(('Projects Overview'!$B$2:$B$5021="BRC Hydraulic Cylinders")*('Projects Overview'!$G$2:$G$5021="Forecast")*('Projects Overview'!W$2:W$5021))</f>
        <v>0</v>
      </c>
      <c r="O92" s="104" cm="1">
        <f t="array" ref="O92">SUMPRODUCT(('Projects Overview'!$B$2:$B$5021="BRC Hydraulic Cylinders")*('Projects Overview'!$G$2:$G$5021="Forecast")*('Projects Overview'!X$2:X$5021))</f>
        <v>0</v>
      </c>
      <c r="P92" s="104" cm="1">
        <f t="array" ref="P92">SUMPRODUCT(('Projects Overview'!$B$2:$B$5021="BRC Hydraulic Cylinders")*('Projects Overview'!$G$2:$G$5021="Forecast")*('Projects Overview'!Y$2:Y$5021))</f>
        <v>0</v>
      </c>
      <c r="Q92" s="104" cm="1">
        <f t="array" ref="Q92">SUMPRODUCT(('Projects Overview'!$B$2:$B$5021="BRC Hydraulic Cylinders")*('Projects Overview'!$G$2:$G$5021="Forecast")*('Projects Overview'!Z$2:Z$5021))</f>
        <v>0</v>
      </c>
      <c r="R92" s="104" cm="1">
        <f t="array" ref="R92">SUMPRODUCT(('Projects Overview'!$B$2:$B$5021="BRC Hydraulic Cylinders")*('Projects Overview'!$G$2:$G$5021="Forecast")*('Projects Overview'!AA$2:AA$5021))</f>
        <v>0</v>
      </c>
      <c r="S92" s="104" cm="1">
        <f t="array" ref="S92">SUMPRODUCT(('Projects Overview'!$B$2:$B$5021="BRC Hydraulic Cylinders")*('Projects Overview'!$G$2:$G$5021="Forecast")*('Projects Overview'!AB$2:AB$5021))</f>
        <v>0</v>
      </c>
      <c r="T92" s="104" cm="1">
        <f t="array" ref="T92">SUMPRODUCT(('Projects Overview'!$B$2:$B$5021="BRC Hydraulic Cylinders")*('Projects Overview'!$G$2:$G$5021="Forecast")*('Projects Overview'!AC$2:AC$5021))</f>
        <v>0</v>
      </c>
      <c r="U92" s="104" cm="1">
        <f t="array" ref="U92">SUMPRODUCT(('Projects Overview'!$B$2:$B$5021="BRC Hydraulic Cylinders")*('Projects Overview'!$G$2:$G$5021="Forecast")*('Projects Overview'!AD$2:AD$5021))</f>
        <v>0</v>
      </c>
      <c r="V92" s="104" cm="1">
        <f t="array" ref="V92">SUMPRODUCT(('Projects Overview'!$B$2:$B$5021="BRC Hydraulic Cylinders")*('Projects Overview'!$G$2:$G$5021="Forecast")*('Projects Overview'!AE$2:AE$5021))</f>
        <v>0</v>
      </c>
      <c r="W92" s="104" cm="1">
        <f t="array" ref="W92">SUMPRODUCT(('Projects Overview'!$B$2:$B$5021="BRC Hydraulic Cylinders")*('Projects Overview'!$G$2:$G$5021="Forecast")*('Projects Overview'!AF$2:AF$5021))</f>
        <v>0</v>
      </c>
      <c r="X92" s="104" cm="1">
        <f t="array" ref="X92">SUMPRODUCT(('Projects Overview'!$B$2:$B$5021="BRC Hydraulic Cylinders")*('Projects Overview'!$G$2:$G$5021="Forecast")*('Projects Overview'!AG$2:AG$5021))</f>
        <v>0</v>
      </c>
      <c r="Y92" s="104" cm="1">
        <f t="array" ref="Y92">SUMPRODUCT(('Projects Overview'!$B$2:$B$5021="BRC Hydraulic Cylinders")*('Projects Overview'!$G$2:$G$5021="Forecast")*('Projects Overview'!AH$2:AH$5021))</f>
        <v>0</v>
      </c>
      <c r="Z92" s="104" cm="1">
        <f t="array" ref="Z92">SUMPRODUCT(('Projects Overview'!$B$2:$B$5021="BRC Hydraulic Cylinders")*('Projects Overview'!$G$2:$G$5021="Forecast")*('Projects Overview'!AI$2:AI$5021))</f>
        <v>0</v>
      </c>
      <c r="AA92" s="104" cm="1">
        <f t="array" ref="AA92">SUMPRODUCT(('Projects Overview'!$B$2:$B$5021="BRC Hydraulic Cylinders")*('Projects Overview'!$G$2:$G$5021="Forecast")*('Projects Overview'!AJ$2:AJ$5021))</f>
        <v>0</v>
      </c>
      <c r="AB92" s="104" cm="1">
        <f t="array" ref="AB92">SUMPRODUCT(('Projects Overview'!$B$2:$B$5021="BRC Hydraulic Cylinders")*('Projects Overview'!$G$2:$G$5021="Forecast")*('Projects Overview'!AK$2:AK$5021))</f>
        <v>0</v>
      </c>
      <c r="AC92" s="104" cm="1">
        <f t="array" ref="AC92">SUMPRODUCT(('Projects Overview'!$B$2:$B$5021="BRC Hydraulic Cylinders")*('Projects Overview'!$G$2:$G$5021="Forecast")*('Projects Overview'!AL$2:AL$5021))</f>
        <v>0</v>
      </c>
      <c r="AD92" s="104" cm="1">
        <f t="array" ref="AD92">SUMPRODUCT(('Projects Overview'!$B$2:$B$5021="BRC Hydraulic Cylinders")*('Projects Overview'!$G$2:$G$5021="Forecast")*('Projects Overview'!AM$2:AM$5021))</f>
        <v>0</v>
      </c>
      <c r="AE92" s="104" cm="1">
        <f t="array" ref="AE92">SUMPRODUCT(('Projects Overview'!$B$2:$B$5021="BRC Hydraulic Cylinders")*('Projects Overview'!$G$2:$G$5021="Forecast")*('Projects Overview'!AN$2:AN$5021))</f>
        <v>0</v>
      </c>
      <c r="AF92" s="104" cm="1">
        <f t="array" ref="AF92">SUMPRODUCT(('Projects Overview'!$B$2:$B$5021="BRC Hydraulic Cylinders")*('Projects Overview'!$G$2:$G$5021="Forecast")*('Projects Overview'!AO$2:AO$5021))</f>
        <v>0</v>
      </c>
      <c r="AG92" s="104" cm="1">
        <f t="array" ref="AG92">SUMPRODUCT(('Projects Overview'!$B$2:$B$5021="BRC Hydraulic Cylinders")*('Projects Overview'!$G$2:$G$5021="Forecast")*('Projects Overview'!AP$2:AP$5021))</f>
        <v>0</v>
      </c>
      <c r="AH92" s="104" cm="1">
        <f t="array" ref="AH92">SUMPRODUCT(('Projects Overview'!$B$2:$B$5021="BRC Hydraulic Cylinders")*('Projects Overview'!$G$2:$G$5021="Forecast")*('Projects Overview'!AQ$2:AQ$5021))</f>
        <v>0</v>
      </c>
      <c r="AI92" s="104" cm="1">
        <f t="array" ref="AI92">SUMPRODUCT(('Projects Overview'!$B$2:$B$5021="BRC Hydraulic Cylinders")*('Projects Overview'!$G$2:$G$5021="Forecast")*('Projects Overview'!AR$2:AR$5021))</f>
        <v>0</v>
      </c>
      <c r="AJ92" s="104" cm="1">
        <f t="array" ref="AJ92">SUMPRODUCT(('Projects Overview'!$B$2:$B$5021="BRC Hydraulic Cylinders")*('Projects Overview'!$G$2:$G$5021="Forecast")*('Projects Overview'!AS$2:AS$5021))</f>
        <v>0</v>
      </c>
      <c r="AK92" s="104" cm="1">
        <f t="array" ref="AK92">SUMPRODUCT(('Projects Overview'!$B$2:$B$5021="BRC Hydraulic Cylinders")*('Projects Overview'!$G$2:$G$5021="Forecast")*('Projects Overview'!AT$2:AT$5021))</f>
        <v>0</v>
      </c>
      <c r="AL92" s="104" cm="1">
        <f t="array" ref="AL92">SUMPRODUCT(('Projects Overview'!$B$2:$B$5021="BRC Hydraulic Cylinders")*('Projects Overview'!$G$2:$G$5021="Forecast")*('Projects Overview'!AU$2:AU$5021))</f>
        <v>0</v>
      </c>
      <c r="AM92" s="104" cm="1">
        <f t="array" ref="AM92">SUMPRODUCT(('Projects Overview'!$B$2:$B$5021="BRC Hydraulic Cylinders")*('Projects Overview'!$G$2:$G$5021="Forecast")*('Projects Overview'!AV$2:AV$5021))</f>
        <v>0</v>
      </c>
    </row>
    <row r="93" spans="1:40" x14ac:dyDescent="0.35">
      <c r="A93" s="222"/>
      <c r="B93" s="227" t="s">
        <v>154</v>
      </c>
      <c r="C93" s="4" t="s">
        <v>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 cm="1">
        <f t="array" ref="I93">SUMPRODUCT(('Projects Overview'!$B$2:$B$5021="PDPH Hydraulic Cylinders")*('Projects Overview'!$G$2:$G$5021="Firm")*('Projects Overview'!R$2:R$5021))</f>
        <v>0</v>
      </c>
      <c r="J93" s="104" cm="1">
        <f t="array" ref="J93">SUMPRODUCT(('Projects Overview'!$B$2:$B$5021="PDPH Hydraulic Cylinders")*('Projects Overview'!$G$2:$G$5021="Firm")*('Projects Overview'!S$2:S$5021))</f>
        <v>0</v>
      </c>
      <c r="K93" s="104" cm="1">
        <f t="array" ref="K93">SUMPRODUCT(('Projects Overview'!$B$2:$B$5021="PDPH Hydraulic Cylinders")*('Projects Overview'!$G$2:$G$5021="Firm")*('Projects Overview'!T$2:T$5021))</f>
        <v>0</v>
      </c>
      <c r="L93" s="104" cm="1">
        <f t="array" ref="L93">SUMPRODUCT(('Projects Overview'!$B$2:$B$5021="PDPH Hydraulic Cylinders")*('Projects Overview'!$G$2:$G$5021="Firm")*('Projects Overview'!U$2:U$5021))</f>
        <v>0</v>
      </c>
      <c r="M93" s="104" cm="1">
        <f t="array" ref="M93">SUMPRODUCT(('Projects Overview'!$B$2:$B$5021="PDPH Hydraulic Cylinders")*('Projects Overview'!$G$2:$G$5021="Firm")*('Projects Overview'!V$2:V$5021))</f>
        <v>0</v>
      </c>
      <c r="N93" s="104" cm="1">
        <f t="array" ref="N93">SUMPRODUCT(('Projects Overview'!$B$2:$B$5021="PDPH Hydraulic Cylinders")*('Projects Overview'!$G$2:$G$5021="Firm")*('Projects Overview'!W$2:W$5021))</f>
        <v>0</v>
      </c>
      <c r="O93" s="104" cm="1">
        <f t="array" ref="O93">SUMPRODUCT(('Projects Overview'!$B$2:$B$5021="PDPH Hydraulic Cylinders")*('Projects Overview'!$G$2:$G$5021="Firm")*('Projects Overview'!X$2:X$5021))</f>
        <v>0</v>
      </c>
      <c r="P93" s="104" cm="1">
        <f t="array" ref="P93">SUMPRODUCT(('Projects Overview'!$B$2:$B$5021="PDPH Hydraulic Cylinders")*('Projects Overview'!$G$2:$G$5021="Firm")*('Projects Overview'!Y$2:Y$5021))</f>
        <v>0</v>
      </c>
      <c r="Q93" s="104" cm="1">
        <f t="array" ref="Q93">SUMPRODUCT(('Projects Overview'!$B$2:$B$5021="PDPH Hydraulic Cylinders")*('Projects Overview'!$G$2:$G$5021="Firm")*('Projects Overview'!Z$2:Z$5021))</f>
        <v>0</v>
      </c>
      <c r="R93" s="104" cm="1">
        <f t="array" ref="R93">SUMPRODUCT(('Projects Overview'!$B$2:$B$5021="PDPH Hydraulic Cylinders")*('Projects Overview'!$G$2:$G$5021="Firm")*('Projects Overview'!AA$2:AA$5021))</f>
        <v>0</v>
      </c>
      <c r="S93" s="104" cm="1">
        <f t="array" ref="S93">SUMPRODUCT(('Projects Overview'!$B$2:$B$5021="PDPH Hydraulic Cylinders")*('Projects Overview'!$G$2:$G$5021="Firm")*('Projects Overview'!AB$2:AB$5021))</f>
        <v>0</v>
      </c>
      <c r="T93" s="104" cm="1">
        <f t="array" ref="T93">SUMPRODUCT(('Projects Overview'!$B$2:$B$5021="PDPH Hydraulic Cylinders")*('Projects Overview'!$G$2:$G$5021="Firm")*('Projects Overview'!AC$2:AC$5021))</f>
        <v>0</v>
      </c>
      <c r="U93" s="104" cm="1">
        <f t="array" ref="U93">SUMPRODUCT(('Projects Overview'!$B$2:$B$5021="PDPH Hydraulic Cylinders")*('Projects Overview'!$G$2:$G$5021="Firm")*('Projects Overview'!AD$2:AD$5021))</f>
        <v>0</v>
      </c>
      <c r="V93" s="104" cm="1">
        <f t="array" ref="V93">SUMPRODUCT(('Projects Overview'!$B$2:$B$5021="PDPH Hydraulic Cylinders")*('Projects Overview'!$G$2:$G$5021="Firm")*('Projects Overview'!AE$2:AE$5021))</f>
        <v>0</v>
      </c>
      <c r="W93" s="104" cm="1">
        <f t="array" ref="W93">SUMPRODUCT(('Projects Overview'!$B$2:$B$5021="PDPH Hydraulic Cylinders")*('Projects Overview'!$G$2:$G$5021="Firm")*('Projects Overview'!AF$2:AF$5021))</f>
        <v>0</v>
      </c>
      <c r="X93" s="104" cm="1">
        <f t="array" ref="X93">SUMPRODUCT(('Projects Overview'!$B$2:$B$5021="PDPH Hydraulic Cylinders")*('Projects Overview'!$G$2:$G$5021="Firm")*('Projects Overview'!AG$2:AG$5021))</f>
        <v>0</v>
      </c>
      <c r="Y93" s="104" cm="1">
        <f t="array" ref="Y93">SUMPRODUCT(('Projects Overview'!$B$2:$B$5021="PDPH Hydraulic Cylinders")*('Projects Overview'!$G$2:$G$5021="Firm")*('Projects Overview'!AH$2:AH$5021))</f>
        <v>0</v>
      </c>
      <c r="Z93" s="104" cm="1">
        <f t="array" ref="Z93">SUMPRODUCT(('Projects Overview'!$B$2:$B$5021="PDPH Hydraulic Cylinders")*('Projects Overview'!$G$2:$G$5021="Firm")*('Projects Overview'!AI$2:AI$5021))</f>
        <v>0</v>
      </c>
      <c r="AA93" s="104" cm="1">
        <f t="array" ref="AA93">SUMPRODUCT(('Projects Overview'!$B$2:$B$5021="PDPH Hydraulic Cylinders")*('Projects Overview'!$G$2:$G$5021="Firm")*('Projects Overview'!AJ$2:AJ$5021))</f>
        <v>0</v>
      </c>
      <c r="AB93" s="104" cm="1">
        <f t="array" ref="AB93">SUMPRODUCT(('Projects Overview'!$B$2:$B$5021="PDPH Hydraulic Cylinders")*('Projects Overview'!$G$2:$G$5021="Firm")*('Projects Overview'!AK$2:AK$5021))</f>
        <v>0</v>
      </c>
      <c r="AC93" s="104" cm="1">
        <f t="array" ref="AC93">SUMPRODUCT(('Projects Overview'!$B$2:$B$5021="PDPH Hydraulic Cylinders")*('Projects Overview'!$G$2:$G$5021="Firm")*('Projects Overview'!AL$2:AL$5021))</f>
        <v>0</v>
      </c>
      <c r="AD93" s="104" cm="1">
        <f t="array" ref="AD93">SUMPRODUCT(('Projects Overview'!$B$2:$B$5021="PDPH Hydraulic Cylinders")*('Projects Overview'!$G$2:$G$5021="Firm")*('Projects Overview'!AM$2:AM$5021))</f>
        <v>0</v>
      </c>
      <c r="AE93" s="104" cm="1">
        <f t="array" ref="AE93">SUMPRODUCT(('Projects Overview'!$B$2:$B$5021="PDPH Hydraulic Cylinders")*('Projects Overview'!$G$2:$G$5021="Firm")*('Projects Overview'!AN$2:AN$5021))</f>
        <v>0</v>
      </c>
      <c r="AF93" s="104" cm="1">
        <f t="array" ref="AF93">SUMPRODUCT(('Projects Overview'!$B$2:$B$5021="PDPH Hydraulic Cylinders")*('Projects Overview'!$G$2:$G$5021="Firm")*('Projects Overview'!AO$2:AO$5021))</f>
        <v>0</v>
      </c>
      <c r="AG93" s="104" cm="1">
        <f t="array" ref="AG93">SUMPRODUCT(('Projects Overview'!$B$2:$B$5021="PDPH Hydraulic Cylinders")*('Projects Overview'!$G$2:$G$5021="Firm")*('Projects Overview'!AP$2:AP$5021))</f>
        <v>0</v>
      </c>
      <c r="AH93" s="104" cm="1">
        <f t="array" ref="AH93">SUMPRODUCT(('Projects Overview'!$B$2:$B$5021="PDPH Hydraulic Cylinders")*('Projects Overview'!$G$2:$G$5021="Firm")*('Projects Overview'!AQ$2:AQ$5021))</f>
        <v>0</v>
      </c>
      <c r="AI93" s="104" cm="1">
        <f t="array" ref="AI93">SUMPRODUCT(('Projects Overview'!$B$2:$B$5021="PDPH Hydraulic Cylinders")*('Projects Overview'!$G$2:$G$5021="Firm")*('Projects Overview'!AR$2:AR$5021))</f>
        <v>0</v>
      </c>
      <c r="AJ93" s="104" cm="1">
        <f t="array" ref="AJ93">SUMPRODUCT(('Projects Overview'!$B$2:$B$5021="PDPH Hydraulic Cylinders")*('Projects Overview'!$G$2:$G$5021="Firm")*('Projects Overview'!AS$2:AS$5021))</f>
        <v>0</v>
      </c>
      <c r="AK93" s="104" cm="1">
        <f t="array" ref="AK93">SUMPRODUCT(('Projects Overview'!$B$2:$B$5021="PDPH Hydraulic Cylinders")*('Projects Overview'!$G$2:$G$5021="Firm")*('Projects Overview'!AT$2:AT$5021))</f>
        <v>0</v>
      </c>
      <c r="AL93" s="104" cm="1">
        <f t="array" ref="AL93">SUMPRODUCT(('Projects Overview'!$B$2:$B$5021="PDPH Hydraulic Cylinders")*('Projects Overview'!$G$2:$G$5021="Firm")*('Projects Overview'!AU$2:AU$5021))</f>
        <v>0</v>
      </c>
      <c r="AM93" s="104" cm="1">
        <f t="array" ref="AM93">SUMPRODUCT(('Projects Overview'!$B$2:$B$5021="PDPH Hydraulic Cylinders")*('Projects Overview'!$G$2:$G$5021="Firm")*('Projects Overview'!AV$2:AV$5021))</f>
        <v>0</v>
      </c>
    </row>
    <row r="94" spans="1:40" x14ac:dyDescent="0.35">
      <c r="A94" s="222"/>
      <c r="B94" s="227"/>
      <c r="C94" s="2" t="s">
        <v>6</v>
      </c>
      <c r="D94" s="104">
        <v>0</v>
      </c>
      <c r="E94" s="104">
        <v>0</v>
      </c>
      <c r="F94" s="104">
        <v>0</v>
      </c>
      <c r="G94" s="104">
        <v>0</v>
      </c>
      <c r="H94" s="104">
        <v>0</v>
      </c>
      <c r="I94" s="104" cm="1">
        <f t="array" ref="I94">SUMPRODUCT(('Projects Overview'!$B$2:$B$5021="PDPH Hydraulic Cylinders")*('Projects Overview'!$G$2:$G$5021="Risk Release")*('Projects Overview'!R$2:R$5021))</f>
        <v>0</v>
      </c>
      <c r="J94" s="104" cm="1">
        <f t="array" ref="J94">SUMPRODUCT(('Projects Overview'!$B$2:$B$5021="PDPH Hydraulic Cylinders")*('Projects Overview'!$G$2:$G$5021="Risk Release")*('Projects Overview'!S$2:S$5021))</f>
        <v>0</v>
      </c>
      <c r="K94" s="104" cm="1">
        <f t="array" ref="K94">SUMPRODUCT(('Projects Overview'!$B$2:$B$5021="PDPH Hydraulic Cylinders")*('Projects Overview'!$G$2:$G$5021="Risk Release")*('Projects Overview'!T$2:T$5021))</f>
        <v>0</v>
      </c>
      <c r="L94" s="104" cm="1">
        <f t="array" ref="L94">SUMPRODUCT(('Projects Overview'!$B$2:$B$5021="PDPH Hydraulic Cylinders")*('Projects Overview'!$G$2:$G$5021="Risk Release")*('Projects Overview'!U$2:U$5021))</f>
        <v>0</v>
      </c>
      <c r="M94" s="104" cm="1">
        <f t="array" ref="M94">SUMPRODUCT(('Projects Overview'!$B$2:$B$5021="PDPH Hydraulic Cylinders")*('Projects Overview'!$G$2:$G$5021="Risk Release")*('Projects Overview'!V$2:V$5021))</f>
        <v>0</v>
      </c>
      <c r="N94" s="104" cm="1">
        <f t="array" ref="N94">SUMPRODUCT(('Projects Overview'!$B$2:$B$5021="PDPH Hydraulic Cylinders")*('Projects Overview'!$G$2:$G$5021="Risk Release")*('Projects Overview'!W$2:W$5021))</f>
        <v>0</v>
      </c>
      <c r="O94" s="104" cm="1">
        <f t="array" ref="O94">SUMPRODUCT(('Projects Overview'!$B$2:$B$5021="PDPH Hydraulic Cylinders")*('Projects Overview'!$G$2:$G$5021="Risk Release")*('Projects Overview'!X$2:X$5021))</f>
        <v>0</v>
      </c>
      <c r="P94" s="104" cm="1">
        <f t="array" ref="P94">SUMPRODUCT(('Projects Overview'!$B$2:$B$5021="PDPH Hydraulic Cylinders")*('Projects Overview'!$G$2:$G$5021="Risk Release")*('Projects Overview'!Y$2:Y$5021))</f>
        <v>0</v>
      </c>
      <c r="Q94" s="104" cm="1">
        <f t="array" ref="Q94">SUMPRODUCT(('Projects Overview'!$B$2:$B$5021="PDPH Hydraulic Cylinders")*('Projects Overview'!$G$2:$G$5021="Risk Release")*('Projects Overview'!Z$2:Z$5021))</f>
        <v>0</v>
      </c>
      <c r="R94" s="104" cm="1">
        <f t="array" ref="R94">SUMPRODUCT(('Projects Overview'!$B$2:$B$5021="PDPH Hydraulic Cylinders")*('Projects Overview'!$G$2:$G$5021="Risk Release")*('Projects Overview'!AA$2:AA$5021))</f>
        <v>0</v>
      </c>
      <c r="S94" s="104" cm="1">
        <f t="array" ref="S94">SUMPRODUCT(('Projects Overview'!$B$2:$B$5021="PDPH Hydraulic Cylinders")*('Projects Overview'!$G$2:$G$5021="Risk Release")*('Projects Overview'!AB$2:AB$5021))</f>
        <v>0</v>
      </c>
      <c r="T94" s="104" cm="1">
        <f t="array" ref="T94">SUMPRODUCT(('Projects Overview'!$B$2:$B$5021="PDPH Hydraulic Cylinders")*('Projects Overview'!$G$2:$G$5021="Risk Release")*('Projects Overview'!AC$2:AC$5021))</f>
        <v>0</v>
      </c>
      <c r="U94" s="104" cm="1">
        <f t="array" ref="U94">SUMPRODUCT(('Projects Overview'!$B$2:$B$5021="PDPH Hydraulic Cylinders")*('Projects Overview'!$G$2:$G$5021="Risk Release")*('Projects Overview'!AD$2:AD$5021))</f>
        <v>0</v>
      </c>
      <c r="V94" s="104" cm="1">
        <f t="array" ref="V94">SUMPRODUCT(('Projects Overview'!$B$2:$B$5021="PDPH Hydraulic Cylinders")*('Projects Overview'!$G$2:$G$5021="Risk Release")*('Projects Overview'!AE$2:AE$5021))</f>
        <v>0</v>
      </c>
      <c r="W94" s="104" cm="1">
        <f t="array" ref="W94">SUMPRODUCT(('Projects Overview'!$B$2:$B$5021="PDPH Hydraulic Cylinders")*('Projects Overview'!$G$2:$G$5021="Risk Release")*('Projects Overview'!AF$2:AF$5021))</f>
        <v>0</v>
      </c>
      <c r="X94" s="104" cm="1">
        <f t="array" ref="X94">SUMPRODUCT(('Projects Overview'!$B$2:$B$5021="PDPH Hydraulic Cylinders")*('Projects Overview'!$G$2:$G$5021="Risk Release")*('Projects Overview'!AG$2:AG$5021))</f>
        <v>0</v>
      </c>
      <c r="Y94" s="104" cm="1">
        <f t="array" ref="Y94">SUMPRODUCT(('Projects Overview'!$B$2:$B$5021="PDPH Hydraulic Cylinders")*('Projects Overview'!$G$2:$G$5021="Risk Release")*('Projects Overview'!AH$2:AH$5021))</f>
        <v>0</v>
      </c>
      <c r="Z94" s="104" cm="1">
        <f t="array" ref="Z94">SUMPRODUCT(('Projects Overview'!$B$2:$B$5021="PDPH Hydraulic Cylinders")*('Projects Overview'!$G$2:$G$5021="Risk Release")*('Projects Overview'!AI$2:AI$5021))</f>
        <v>0</v>
      </c>
      <c r="AA94" s="104" cm="1">
        <f t="array" ref="AA94">SUMPRODUCT(('Projects Overview'!$B$2:$B$5021="PDPH Hydraulic Cylinders")*('Projects Overview'!$G$2:$G$5021="Risk Release")*('Projects Overview'!AJ$2:AJ$5021))</f>
        <v>0</v>
      </c>
      <c r="AB94" s="104" cm="1">
        <f t="array" ref="AB94">SUMPRODUCT(('Projects Overview'!$B$2:$B$5021="PDPH Hydraulic Cylinders")*('Projects Overview'!$G$2:$G$5021="Risk Release")*('Projects Overview'!AK$2:AK$5021))</f>
        <v>0</v>
      </c>
      <c r="AC94" s="104" cm="1">
        <f t="array" ref="AC94">SUMPRODUCT(('Projects Overview'!$B$2:$B$5021="PDPH Hydraulic Cylinders")*('Projects Overview'!$G$2:$G$5021="Risk Release")*('Projects Overview'!AL$2:AL$5021))</f>
        <v>0</v>
      </c>
      <c r="AD94" s="104" cm="1">
        <f t="array" ref="AD94">SUMPRODUCT(('Projects Overview'!$B$2:$B$5021="PDPH Hydraulic Cylinders")*('Projects Overview'!$G$2:$G$5021="Risk Release")*('Projects Overview'!AM$2:AM$5021))</f>
        <v>0</v>
      </c>
      <c r="AE94" s="104" cm="1">
        <f t="array" ref="AE94">SUMPRODUCT(('Projects Overview'!$B$2:$B$5021="PDPH Hydraulic Cylinders")*('Projects Overview'!$G$2:$G$5021="Risk Release")*('Projects Overview'!AN$2:AN$5021))</f>
        <v>0</v>
      </c>
      <c r="AF94" s="104" cm="1">
        <f t="array" ref="AF94">SUMPRODUCT(('Projects Overview'!$B$2:$B$5021="PDPH Hydraulic Cylinders")*('Projects Overview'!$G$2:$G$5021="Risk Release")*('Projects Overview'!AO$2:AO$5021))</f>
        <v>0</v>
      </c>
      <c r="AG94" s="104" cm="1">
        <f t="array" ref="AG94">SUMPRODUCT(('Projects Overview'!$B$2:$B$5021="PDPH Hydraulic Cylinders")*('Projects Overview'!$G$2:$G$5021="Risk Release")*('Projects Overview'!AP$2:AP$5021))</f>
        <v>0</v>
      </c>
      <c r="AH94" s="104" cm="1">
        <f t="array" ref="AH94">SUMPRODUCT(('Projects Overview'!$B$2:$B$5021="PDPH Hydraulic Cylinders")*('Projects Overview'!$G$2:$G$5021="Risk Release")*('Projects Overview'!AQ$2:AQ$5021))</f>
        <v>0</v>
      </c>
      <c r="AI94" s="104" cm="1">
        <f t="array" ref="AI94">SUMPRODUCT(('Projects Overview'!$B$2:$B$5021="PDPH Hydraulic Cylinders")*('Projects Overview'!$G$2:$G$5021="Risk Release")*('Projects Overview'!AR$2:AR$5021))</f>
        <v>0</v>
      </c>
      <c r="AJ94" s="104" cm="1">
        <f t="array" ref="AJ94">SUMPRODUCT(('Projects Overview'!$B$2:$B$5021="PDPH Hydraulic Cylinders")*('Projects Overview'!$G$2:$G$5021="Risk Release")*('Projects Overview'!AS$2:AS$5021))</f>
        <v>0</v>
      </c>
      <c r="AK94" s="104" cm="1">
        <f t="array" ref="AK94">SUMPRODUCT(('Projects Overview'!$B$2:$B$5021="PDPH Hydraulic Cylinders")*('Projects Overview'!$G$2:$G$5021="Risk Release")*('Projects Overview'!AT$2:AT$5021))</f>
        <v>0</v>
      </c>
      <c r="AL94" s="104" cm="1">
        <f t="array" ref="AL94">SUMPRODUCT(('Projects Overview'!$B$2:$B$5021="PDPH Hydraulic Cylinders")*('Projects Overview'!$G$2:$G$5021="Risk Release")*('Projects Overview'!AU$2:AU$5021))</f>
        <v>0</v>
      </c>
      <c r="AM94" s="104" cm="1">
        <f t="array" ref="AM94">SUMPRODUCT(('Projects Overview'!$B$2:$B$5021="PDPH Hydraulic Cylinders")*('Projects Overview'!$G$2:$G$5021="Risk Release")*('Projects Overview'!AV$2:AV$5021))</f>
        <v>0</v>
      </c>
    </row>
    <row r="95" spans="1:40" x14ac:dyDescent="0.35">
      <c r="A95" s="222"/>
      <c r="B95" s="228"/>
      <c r="C95" s="3" t="s">
        <v>8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  <c r="I95" s="104" cm="1">
        <f t="array" ref="I95">SUMPRODUCT(('Projects Overview'!$B$2:$B$5021="PDPH Hydraulic Cylinders")*('Projects Overview'!$G$2:$G$5021="Forecast")*('Projects Overview'!R$2:R$5021))</f>
        <v>0</v>
      </c>
      <c r="J95" s="104" cm="1">
        <f t="array" ref="J95">SUMPRODUCT(('Projects Overview'!$B$2:$B$5021="PDPH Hydraulic Cylinders")*('Projects Overview'!$G$2:$G$5021="Forecast")*('Projects Overview'!S$2:S$5021))</f>
        <v>0</v>
      </c>
      <c r="K95" s="104" cm="1">
        <f t="array" ref="K95">SUMPRODUCT(('Projects Overview'!$B$2:$B$5021="PDPH Hydraulic Cylinders")*('Projects Overview'!$G$2:$G$5021="Forecast")*('Projects Overview'!T$2:T$5021))</f>
        <v>0</v>
      </c>
      <c r="L95" s="104" cm="1">
        <f t="array" ref="L95">SUMPRODUCT(('Projects Overview'!$B$2:$B$5021="PDPH Hydraulic Cylinders")*('Projects Overview'!$G$2:$G$5021="Forecast")*('Projects Overview'!U$2:U$5021))</f>
        <v>0</v>
      </c>
      <c r="M95" s="104" cm="1">
        <f t="array" ref="M95">SUMPRODUCT(('Projects Overview'!$B$2:$B$5021="PDPH Hydraulic Cylinders")*('Projects Overview'!$G$2:$G$5021="Forecast")*('Projects Overview'!V$2:V$5021))</f>
        <v>0</v>
      </c>
      <c r="N95" s="104" cm="1">
        <f t="array" ref="N95">SUMPRODUCT(('Projects Overview'!$B$2:$B$5021="PDPH Hydraulic Cylinders")*('Projects Overview'!$G$2:$G$5021="Forecast")*('Projects Overview'!W$2:W$5021))</f>
        <v>0</v>
      </c>
      <c r="O95" s="104" cm="1">
        <f t="array" ref="O95">SUMPRODUCT(('Projects Overview'!$B$2:$B$5021="PDPH Hydraulic Cylinders")*('Projects Overview'!$G$2:$G$5021="Forecast")*('Projects Overview'!X$2:X$5021))</f>
        <v>0</v>
      </c>
      <c r="P95" s="104" cm="1">
        <f t="array" ref="P95">SUMPRODUCT(('Projects Overview'!$B$2:$B$5021="PDPH Hydraulic Cylinders")*('Projects Overview'!$G$2:$G$5021="Forecast")*('Projects Overview'!Y$2:Y$5021))</f>
        <v>0</v>
      </c>
      <c r="Q95" s="104" cm="1">
        <f t="array" ref="Q95">SUMPRODUCT(('Projects Overview'!$B$2:$B$5021="PDPH Hydraulic Cylinders")*('Projects Overview'!$G$2:$G$5021="Forecast")*('Projects Overview'!Z$2:Z$5021))</f>
        <v>0</v>
      </c>
      <c r="R95" s="104" cm="1">
        <f t="array" ref="R95">SUMPRODUCT(('Projects Overview'!$B$2:$B$5021="PDPH Hydraulic Cylinders")*('Projects Overview'!$G$2:$G$5021="Forecast")*('Projects Overview'!AA$2:AA$5021))</f>
        <v>0</v>
      </c>
      <c r="S95" s="104" cm="1">
        <f t="array" ref="S95">SUMPRODUCT(('Projects Overview'!$B$2:$B$5021="PDPH Hydraulic Cylinders")*('Projects Overview'!$G$2:$G$5021="Forecast")*('Projects Overview'!AB$2:AB$5021))</f>
        <v>0</v>
      </c>
      <c r="T95" s="104" cm="1">
        <f t="array" ref="T95">SUMPRODUCT(('Projects Overview'!$B$2:$B$5021="PDPH Hydraulic Cylinders")*('Projects Overview'!$G$2:$G$5021="Forecast")*('Projects Overview'!AC$2:AC$5021))</f>
        <v>0</v>
      </c>
      <c r="U95" s="104" cm="1">
        <f t="array" ref="U95">SUMPRODUCT(('Projects Overview'!$B$2:$B$5021="PDPH Hydraulic Cylinders")*('Projects Overview'!$G$2:$G$5021="Forecast")*('Projects Overview'!AD$2:AD$5021))</f>
        <v>0</v>
      </c>
      <c r="V95" s="104" cm="1">
        <f t="array" ref="V95">SUMPRODUCT(('Projects Overview'!$B$2:$B$5021="PDPH Hydraulic Cylinders")*('Projects Overview'!$G$2:$G$5021="Forecast")*('Projects Overview'!AE$2:AE$5021))</f>
        <v>0</v>
      </c>
      <c r="W95" s="104" cm="1">
        <f t="array" ref="W95">SUMPRODUCT(('Projects Overview'!$B$2:$B$5021="PDPH Hydraulic Cylinders")*('Projects Overview'!$G$2:$G$5021="Forecast")*('Projects Overview'!AF$2:AF$5021))</f>
        <v>0</v>
      </c>
      <c r="X95" s="104" cm="1">
        <f t="array" ref="X95">SUMPRODUCT(('Projects Overview'!$B$2:$B$5021="PDPH Hydraulic Cylinders")*('Projects Overview'!$G$2:$G$5021="Forecast")*('Projects Overview'!AG$2:AG$5021))</f>
        <v>0</v>
      </c>
      <c r="Y95" s="104" cm="1">
        <f t="array" ref="Y95">SUMPRODUCT(('Projects Overview'!$B$2:$B$5021="PDPH Hydraulic Cylinders")*('Projects Overview'!$G$2:$G$5021="Forecast")*('Projects Overview'!AH$2:AH$5021))</f>
        <v>0</v>
      </c>
      <c r="Z95" s="104" cm="1">
        <f t="array" ref="Z95">SUMPRODUCT(('Projects Overview'!$B$2:$B$5021="PDPH Hydraulic Cylinders")*('Projects Overview'!$G$2:$G$5021="Forecast")*('Projects Overview'!AI$2:AI$5021))</f>
        <v>0</v>
      </c>
      <c r="AA95" s="104" cm="1">
        <f t="array" ref="AA95">SUMPRODUCT(('Projects Overview'!$B$2:$B$5021="PDPH Hydraulic Cylinders")*('Projects Overview'!$G$2:$G$5021="Forecast")*('Projects Overview'!AJ$2:AJ$5021))</f>
        <v>0</v>
      </c>
      <c r="AB95" s="104" cm="1">
        <f t="array" ref="AB95">SUMPRODUCT(('Projects Overview'!$B$2:$B$5021="PDPH Hydraulic Cylinders")*('Projects Overview'!$G$2:$G$5021="Forecast")*('Projects Overview'!AK$2:AK$5021))</f>
        <v>0</v>
      </c>
      <c r="AC95" s="104" cm="1">
        <f t="array" ref="AC95">SUMPRODUCT(('Projects Overview'!$B$2:$B$5021="PDPH Hydraulic Cylinders")*('Projects Overview'!$G$2:$G$5021="Forecast")*('Projects Overview'!AL$2:AL$5021))</f>
        <v>0</v>
      </c>
      <c r="AD95" s="104" cm="1">
        <f t="array" ref="AD95">SUMPRODUCT(('Projects Overview'!$B$2:$B$5021="PDPH Hydraulic Cylinders")*('Projects Overview'!$G$2:$G$5021="Forecast")*('Projects Overview'!AM$2:AM$5021))</f>
        <v>0</v>
      </c>
      <c r="AE95" s="104" cm="1">
        <f t="array" ref="AE95">SUMPRODUCT(('Projects Overview'!$B$2:$B$5021="PDPH Hydraulic Cylinders")*('Projects Overview'!$G$2:$G$5021="Forecast")*('Projects Overview'!AN$2:AN$5021))</f>
        <v>0</v>
      </c>
      <c r="AF95" s="104" cm="1">
        <f t="array" ref="AF95">SUMPRODUCT(('Projects Overview'!$B$2:$B$5021="PDPH Hydraulic Cylinders")*('Projects Overview'!$G$2:$G$5021="Forecast")*('Projects Overview'!AO$2:AO$5021))</f>
        <v>0</v>
      </c>
      <c r="AG95" s="104" cm="1">
        <f t="array" ref="AG95">SUMPRODUCT(('Projects Overview'!$B$2:$B$5021="PDPH Hydraulic Cylinders")*('Projects Overview'!$G$2:$G$5021="Forecast")*('Projects Overview'!AP$2:AP$5021))</f>
        <v>0</v>
      </c>
      <c r="AH95" s="104" cm="1">
        <f t="array" ref="AH95">SUMPRODUCT(('Projects Overview'!$B$2:$B$5021="PDPH Hydraulic Cylinders")*('Projects Overview'!$G$2:$G$5021="Forecast")*('Projects Overview'!AQ$2:AQ$5021))</f>
        <v>0</v>
      </c>
      <c r="AI95" s="104" cm="1">
        <f t="array" ref="AI95">SUMPRODUCT(('Projects Overview'!$B$2:$B$5021="PDPH Hydraulic Cylinders")*('Projects Overview'!$G$2:$G$5021="Forecast")*('Projects Overview'!AR$2:AR$5021))</f>
        <v>0</v>
      </c>
      <c r="AJ95" s="104" cm="1">
        <f t="array" ref="AJ95">SUMPRODUCT(('Projects Overview'!$B$2:$B$5021="PDPH Hydraulic Cylinders")*('Projects Overview'!$G$2:$G$5021="Forecast")*('Projects Overview'!AS$2:AS$5021))</f>
        <v>0</v>
      </c>
      <c r="AK95" s="104" cm="1">
        <f t="array" ref="AK95">SUMPRODUCT(('Projects Overview'!$B$2:$B$5021="PDPH Hydraulic Cylinders")*('Projects Overview'!$G$2:$G$5021="Forecast")*('Projects Overview'!AT$2:AT$5021))</f>
        <v>0</v>
      </c>
      <c r="AL95" s="104" cm="1">
        <f t="array" ref="AL95">SUMPRODUCT(('Projects Overview'!$B$2:$B$5021="PDPH Hydraulic Cylinders")*('Projects Overview'!$G$2:$G$5021="Forecast")*('Projects Overview'!AU$2:AU$5021))</f>
        <v>0</v>
      </c>
      <c r="AM95" s="104" cm="1">
        <f t="array" ref="AM95">SUMPRODUCT(('Projects Overview'!$B$2:$B$5021="PDPH Hydraulic Cylinders")*('Projects Overview'!$G$2:$G$5021="Forecast")*('Projects Overview'!AV$2:AV$5021))</f>
        <v>0</v>
      </c>
    </row>
    <row r="96" spans="1:40" x14ac:dyDescent="0.35">
      <c r="A96" s="222"/>
      <c r="B96" s="227" t="s">
        <v>156</v>
      </c>
      <c r="C96" s="4" t="s">
        <v>4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  <c r="I96" s="104" cm="1">
        <f t="array" ref="I96">SUMPRODUCT(('Projects Overview'!$B$2:$B$5021="AHC Cylinders")*('Projects Overview'!$G$2:$G$5021="Firm")*('Projects Overview'!R$2:R$5021))</f>
        <v>0</v>
      </c>
      <c r="J96" s="104" cm="1">
        <f t="array" ref="J96">SUMPRODUCT(('Projects Overview'!$B$2:$B$5021="AHC Cylinders")*('Projects Overview'!$G$2:$G$5021="Firm")*('Projects Overview'!S$2:S$5021))</f>
        <v>0</v>
      </c>
      <c r="K96" s="104" cm="1">
        <f t="array" ref="K96">SUMPRODUCT(('Projects Overview'!$B$2:$B$5021="AHC Cylinders")*('Projects Overview'!$G$2:$G$5021="Firm")*('Projects Overview'!T$2:T$5021))</f>
        <v>0</v>
      </c>
      <c r="L96" s="104" cm="1">
        <f t="array" ref="L96">SUMPRODUCT(('Projects Overview'!$B$2:$B$5021="AHC Cylinders")*('Projects Overview'!$G$2:$G$5021="Firm")*('Projects Overview'!U$2:U$5021))</f>
        <v>50</v>
      </c>
      <c r="M96" s="104" cm="1">
        <f t="array" ref="M96">SUMPRODUCT(('Projects Overview'!$B$2:$B$5021="AHC Cylinders")*('Projects Overview'!$G$2:$G$5021="Firm")*('Projects Overview'!V$2:V$5021))</f>
        <v>100</v>
      </c>
      <c r="N96" s="104" cm="1">
        <f t="array" ref="N96">SUMPRODUCT(('Projects Overview'!$B$2:$B$5021="AHC Cylinders")*('Projects Overview'!$G$2:$G$5021="Firm")*('Projects Overview'!W$2:W$5021))</f>
        <v>0</v>
      </c>
      <c r="O96" s="104" cm="1">
        <f t="array" ref="O96">SUMPRODUCT(('Projects Overview'!$B$2:$B$5021="AHC Cylinders")*('Projects Overview'!$G$2:$G$5021="Firm")*('Projects Overview'!X$2:X$5021))</f>
        <v>0</v>
      </c>
      <c r="P96" s="104" cm="1">
        <f t="array" ref="P96">SUMPRODUCT(('Projects Overview'!$B$2:$B$5021="AHC Cylinders")*('Projects Overview'!$G$2:$G$5021="Firm")*('Projects Overview'!Y$2:Y$5021))</f>
        <v>0</v>
      </c>
      <c r="Q96" s="104" cm="1">
        <f t="array" ref="Q96">SUMPRODUCT(('Projects Overview'!$B$2:$B$5021="AHC Cylinders")*('Projects Overview'!$G$2:$G$5021="Firm")*('Projects Overview'!Z$2:Z$5021))</f>
        <v>0</v>
      </c>
      <c r="R96" s="104" cm="1">
        <f t="array" ref="R96">SUMPRODUCT(('Projects Overview'!$B$2:$B$5021="AHC Cylinders")*('Projects Overview'!$G$2:$G$5021="Firm")*('Projects Overview'!AA$2:AA$5021))</f>
        <v>0</v>
      </c>
      <c r="S96" s="104" cm="1">
        <f t="array" ref="S96">SUMPRODUCT(('Projects Overview'!$B$2:$B$5021="AHC Cylinders")*('Projects Overview'!$G$2:$G$5021="Firm")*('Projects Overview'!AB$2:AB$5021))</f>
        <v>0</v>
      </c>
      <c r="T96" s="104" cm="1">
        <f t="array" ref="T96">SUMPRODUCT(('Projects Overview'!$B$2:$B$5021="AHC Cylinders")*('Projects Overview'!$G$2:$G$5021="Firm")*('Projects Overview'!AC$2:AC$5021))</f>
        <v>0</v>
      </c>
      <c r="U96" s="104" cm="1">
        <f t="array" ref="U96">SUMPRODUCT(('Projects Overview'!$B$2:$B$5021="AHC Cylinders")*('Projects Overview'!$G$2:$G$5021="Firm")*('Projects Overview'!AD$2:AD$5021))</f>
        <v>0</v>
      </c>
      <c r="V96" s="104" cm="1">
        <f t="array" ref="V96">SUMPRODUCT(('Projects Overview'!$B$2:$B$5021="AHC Cylinders")*('Projects Overview'!$G$2:$G$5021="Firm")*('Projects Overview'!AE$2:AE$5021))</f>
        <v>0</v>
      </c>
      <c r="W96" s="104" cm="1">
        <f t="array" ref="W96">SUMPRODUCT(('Projects Overview'!$B$2:$B$5021="AHC Cylinders")*('Projects Overview'!$G$2:$G$5021="Firm")*('Projects Overview'!AF$2:AF$5021))</f>
        <v>0</v>
      </c>
      <c r="X96" s="104" cm="1">
        <f t="array" ref="X96">SUMPRODUCT(('Projects Overview'!$B$2:$B$5021="AHC Cylinders")*('Projects Overview'!$G$2:$G$5021="Firm")*('Projects Overview'!AG$2:AG$5021))</f>
        <v>0</v>
      </c>
      <c r="Y96" s="104" cm="1">
        <f t="array" ref="Y96">SUMPRODUCT(('Projects Overview'!$B$2:$B$5021="AHC Cylinders")*('Projects Overview'!$G$2:$G$5021="Firm")*('Projects Overview'!AH$2:AH$5021))</f>
        <v>0</v>
      </c>
      <c r="Z96" s="104" cm="1">
        <f t="array" ref="Z96">SUMPRODUCT(('Projects Overview'!$B$2:$B$5021="AHC Cylinders")*('Projects Overview'!$G$2:$G$5021="Firm")*('Projects Overview'!AI$2:AI$5021))</f>
        <v>0</v>
      </c>
      <c r="AA96" s="104" cm="1">
        <f t="array" ref="AA96">SUMPRODUCT(('Projects Overview'!$B$2:$B$5021="AHC Cylinders")*('Projects Overview'!$G$2:$G$5021="Firm")*('Projects Overview'!AJ$2:AJ$5021))</f>
        <v>0</v>
      </c>
      <c r="AB96" s="104" cm="1">
        <f t="array" ref="AB96">SUMPRODUCT(('Projects Overview'!$B$2:$B$5021="AHC Cylinders")*('Projects Overview'!$G$2:$G$5021="Firm")*('Projects Overview'!AK$2:AK$5021))</f>
        <v>0</v>
      </c>
      <c r="AC96" s="104" cm="1">
        <f t="array" ref="AC96">SUMPRODUCT(('Projects Overview'!$B$2:$B$5021="AHC Cylinders")*('Projects Overview'!$G$2:$G$5021="Firm")*('Projects Overview'!AL$2:AL$5021))</f>
        <v>0</v>
      </c>
      <c r="AD96" s="104" cm="1">
        <f t="array" ref="AD96">SUMPRODUCT(('Projects Overview'!$B$2:$B$5021="AHC Cylinders")*('Projects Overview'!$G$2:$G$5021="Firm")*('Projects Overview'!AM$2:AM$5021))</f>
        <v>0</v>
      </c>
      <c r="AE96" s="104" cm="1">
        <f t="array" ref="AE96">SUMPRODUCT(('Projects Overview'!$B$2:$B$5021="AHC Cylinders")*('Projects Overview'!$G$2:$G$5021="Firm")*('Projects Overview'!AN$2:AN$5021))</f>
        <v>0</v>
      </c>
      <c r="AF96" s="104" cm="1">
        <f t="array" ref="AF96">SUMPRODUCT(('Projects Overview'!$B$2:$B$5021="AHC Cylinders")*('Projects Overview'!$G$2:$G$5021="Firm")*('Projects Overview'!AO$2:AO$5021))</f>
        <v>0</v>
      </c>
      <c r="AG96" s="104" cm="1">
        <f t="array" ref="AG96">SUMPRODUCT(('Projects Overview'!$B$2:$B$5021="AHC Cylinders")*('Projects Overview'!$G$2:$G$5021="Firm")*('Projects Overview'!AP$2:AP$5021))</f>
        <v>0</v>
      </c>
      <c r="AH96" s="104" cm="1">
        <f t="array" ref="AH96">SUMPRODUCT(('Projects Overview'!$B$2:$B$5021="AHC Cylinders")*('Projects Overview'!$G$2:$G$5021="Firm")*('Projects Overview'!AQ$2:AQ$5021))</f>
        <v>0</v>
      </c>
      <c r="AI96" s="104" cm="1">
        <f t="array" ref="AI96">SUMPRODUCT(('Projects Overview'!$B$2:$B$5021="AHC Cylinders")*('Projects Overview'!$G$2:$G$5021="Firm")*('Projects Overview'!AR$2:AR$5021))</f>
        <v>0</v>
      </c>
      <c r="AJ96" s="104" cm="1">
        <f t="array" ref="AJ96">SUMPRODUCT(('Projects Overview'!$B$2:$B$5021="AHC Cylinders")*('Projects Overview'!$G$2:$G$5021="Firm")*('Projects Overview'!AS$2:AS$5021))</f>
        <v>0</v>
      </c>
      <c r="AK96" s="104" cm="1">
        <f t="array" ref="AK96">SUMPRODUCT(('Projects Overview'!$B$2:$B$5021="AHC Cylinders")*('Projects Overview'!$G$2:$G$5021="Firm")*('Projects Overview'!AT$2:AT$5021))</f>
        <v>0</v>
      </c>
      <c r="AL96" s="104" cm="1">
        <f t="array" ref="AL96">SUMPRODUCT(('Projects Overview'!$B$2:$B$5021="AHC Cylinders")*('Projects Overview'!$G$2:$G$5021="Firm")*('Projects Overview'!AU$2:AU$5021))</f>
        <v>0</v>
      </c>
      <c r="AM96" s="104" cm="1">
        <f t="array" ref="AM96">SUMPRODUCT(('Projects Overview'!$B$2:$B$5021="AHC Cylinders")*('Projects Overview'!$G$2:$G$5021="Firm")*('Projects Overview'!AV$2:AV$5021))</f>
        <v>0</v>
      </c>
    </row>
    <row r="97" spans="1:39" x14ac:dyDescent="0.35">
      <c r="A97" s="222"/>
      <c r="B97" s="227"/>
      <c r="C97" s="2" t="s">
        <v>6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 cm="1">
        <f t="array" ref="I97">SUMPRODUCT(('Projects Overview'!$B$2:$B$5021="AHC Cylinders")*('Projects Overview'!$G$2:$G$5021="Risk Release")*('Projects Overview'!R$2:R$5021))</f>
        <v>0</v>
      </c>
      <c r="J97" s="104" cm="1">
        <f t="array" ref="J97">SUMPRODUCT(('Projects Overview'!$B$2:$B$5021="AHC Cylinders")*('Projects Overview'!$G$2:$G$5021="Risk Release")*('Projects Overview'!S$2:S$5021))</f>
        <v>0</v>
      </c>
      <c r="K97" s="104" cm="1">
        <f t="array" ref="K97">SUMPRODUCT(('Projects Overview'!$B$2:$B$5021="AHC Cylinders")*('Projects Overview'!$G$2:$G$5021="Risk Release")*('Projects Overview'!T$2:T$5021))</f>
        <v>0</v>
      </c>
      <c r="L97" s="104" cm="1">
        <f t="array" ref="L97">SUMPRODUCT(('Projects Overview'!$B$2:$B$5021="AHC Cylinders")*('Projects Overview'!$G$2:$G$5021="Risk Release")*('Projects Overview'!U$2:U$5021))</f>
        <v>0</v>
      </c>
      <c r="M97" s="104" cm="1">
        <f t="array" ref="M97">SUMPRODUCT(('Projects Overview'!$B$2:$B$5021="AHC Cylinders")*('Projects Overview'!$G$2:$G$5021="Risk Release")*('Projects Overview'!V$2:V$5021))</f>
        <v>0</v>
      </c>
      <c r="N97" s="104" cm="1">
        <f t="array" ref="N97">SUMPRODUCT(('Projects Overview'!$B$2:$B$5021="AHC Cylinders")*('Projects Overview'!$G$2:$G$5021="Risk Release")*('Projects Overview'!W$2:W$5021))</f>
        <v>0</v>
      </c>
      <c r="O97" s="104" cm="1">
        <f t="array" ref="O97">SUMPRODUCT(('Projects Overview'!$B$2:$B$5021="AHC Cylinders")*('Projects Overview'!$G$2:$G$5021="Risk Release")*('Projects Overview'!X$2:X$5021))</f>
        <v>0</v>
      </c>
      <c r="P97" s="104" cm="1">
        <f t="array" ref="P97">SUMPRODUCT(('Projects Overview'!$B$2:$B$5021="AHC Cylinders")*('Projects Overview'!$G$2:$G$5021="Risk Release")*('Projects Overview'!Y$2:Y$5021))</f>
        <v>0</v>
      </c>
      <c r="Q97" s="104" cm="1">
        <f t="array" ref="Q97">SUMPRODUCT(('Projects Overview'!$B$2:$B$5021="AHC Cylinders")*('Projects Overview'!$G$2:$G$5021="Risk Release")*('Projects Overview'!Z$2:Z$5021))</f>
        <v>0</v>
      </c>
      <c r="R97" s="104" cm="1">
        <f t="array" ref="R97">SUMPRODUCT(('Projects Overview'!$B$2:$B$5021="AHC Cylinders")*('Projects Overview'!$G$2:$G$5021="Risk Release")*('Projects Overview'!AA$2:AA$5021))</f>
        <v>0</v>
      </c>
      <c r="S97" s="104" cm="1">
        <f t="array" ref="S97">SUMPRODUCT(('Projects Overview'!$B$2:$B$5021="AHC Cylinders")*('Projects Overview'!$G$2:$G$5021="Risk Release")*('Projects Overview'!AB$2:AB$5021))</f>
        <v>0</v>
      </c>
      <c r="T97" s="104" cm="1">
        <f t="array" ref="T97">SUMPRODUCT(('Projects Overview'!$B$2:$B$5021="AHC Cylinders")*('Projects Overview'!$G$2:$G$5021="Risk Release")*('Projects Overview'!AC$2:AC$5021))</f>
        <v>0</v>
      </c>
      <c r="U97" s="104" cm="1">
        <f t="array" ref="U97">SUMPRODUCT(('Projects Overview'!$B$2:$B$5021="AHC Cylinders")*('Projects Overview'!$G$2:$G$5021="Risk Release")*('Projects Overview'!AD$2:AD$5021))</f>
        <v>0</v>
      </c>
      <c r="V97" s="104" cm="1">
        <f t="array" ref="V97">SUMPRODUCT(('Projects Overview'!$B$2:$B$5021="AHC Cylinders")*('Projects Overview'!$G$2:$G$5021="Risk Release")*('Projects Overview'!AE$2:AE$5021))</f>
        <v>0</v>
      </c>
      <c r="W97" s="104" cm="1">
        <f t="array" ref="W97">SUMPRODUCT(('Projects Overview'!$B$2:$B$5021="AHC Cylinders")*('Projects Overview'!$G$2:$G$5021="Risk Release")*('Projects Overview'!AF$2:AF$5021))</f>
        <v>0</v>
      </c>
      <c r="X97" s="104" cm="1">
        <f t="array" ref="X97">SUMPRODUCT(('Projects Overview'!$B$2:$B$5021="AHC Cylinders")*('Projects Overview'!$G$2:$G$5021="Risk Release")*('Projects Overview'!AG$2:AG$5021))</f>
        <v>0</v>
      </c>
      <c r="Y97" s="104" cm="1">
        <f t="array" ref="Y97">SUMPRODUCT(('Projects Overview'!$B$2:$B$5021="AHC Cylinders")*('Projects Overview'!$G$2:$G$5021="Risk Release")*('Projects Overview'!AH$2:AH$5021))</f>
        <v>0</v>
      </c>
      <c r="Z97" s="104" cm="1">
        <f t="array" ref="Z97">SUMPRODUCT(('Projects Overview'!$B$2:$B$5021="AHC Cylinders")*('Projects Overview'!$G$2:$G$5021="Risk Release")*('Projects Overview'!AI$2:AI$5021))</f>
        <v>0</v>
      </c>
      <c r="AA97" s="104" cm="1">
        <f t="array" ref="AA97">SUMPRODUCT(('Projects Overview'!$B$2:$B$5021="AHC Cylinders")*('Projects Overview'!$G$2:$G$5021="Risk Release")*('Projects Overview'!AJ$2:AJ$5021))</f>
        <v>0</v>
      </c>
      <c r="AB97" s="104" cm="1">
        <f t="array" ref="AB97">SUMPRODUCT(('Projects Overview'!$B$2:$B$5021="AHC Cylinders")*('Projects Overview'!$G$2:$G$5021="Risk Release")*('Projects Overview'!AK$2:AK$5021))</f>
        <v>0</v>
      </c>
      <c r="AC97" s="104" cm="1">
        <f t="array" ref="AC97">SUMPRODUCT(('Projects Overview'!$B$2:$B$5021="AHC Cylinders")*('Projects Overview'!$G$2:$G$5021="Risk Release")*('Projects Overview'!AL$2:AL$5021))</f>
        <v>0</v>
      </c>
      <c r="AD97" s="104" cm="1">
        <f t="array" ref="AD97">SUMPRODUCT(('Projects Overview'!$B$2:$B$5021="AHC Cylinders")*('Projects Overview'!$G$2:$G$5021="Risk Release")*('Projects Overview'!AM$2:AM$5021))</f>
        <v>0</v>
      </c>
      <c r="AE97" s="104" cm="1">
        <f t="array" ref="AE97">SUMPRODUCT(('Projects Overview'!$B$2:$B$5021="AHC Cylinders")*('Projects Overview'!$G$2:$G$5021="Risk Release")*('Projects Overview'!AN$2:AN$5021))</f>
        <v>0</v>
      </c>
      <c r="AF97" s="104" cm="1">
        <f t="array" ref="AF97">SUMPRODUCT(('Projects Overview'!$B$2:$B$5021="AHC Cylinders")*('Projects Overview'!$G$2:$G$5021="Risk Release")*('Projects Overview'!AO$2:AO$5021))</f>
        <v>0</v>
      </c>
      <c r="AG97" s="104" cm="1">
        <f t="array" ref="AG97">SUMPRODUCT(('Projects Overview'!$B$2:$B$5021="AHC Cylinders")*('Projects Overview'!$G$2:$G$5021="Risk Release")*('Projects Overview'!AP$2:AP$5021))</f>
        <v>0</v>
      </c>
      <c r="AH97" s="104" cm="1">
        <f t="array" ref="AH97">SUMPRODUCT(('Projects Overview'!$B$2:$B$5021="AHC Cylinders")*('Projects Overview'!$G$2:$G$5021="Risk Release")*('Projects Overview'!AQ$2:AQ$5021))</f>
        <v>0</v>
      </c>
      <c r="AI97" s="104" cm="1">
        <f t="array" ref="AI97">SUMPRODUCT(('Projects Overview'!$B$2:$B$5021="AHC Cylinders")*('Projects Overview'!$G$2:$G$5021="Risk Release")*('Projects Overview'!AR$2:AR$5021))</f>
        <v>0</v>
      </c>
      <c r="AJ97" s="104" cm="1">
        <f t="array" ref="AJ97">SUMPRODUCT(('Projects Overview'!$B$2:$B$5021="AHC Cylinders")*('Projects Overview'!$G$2:$G$5021="Risk Release")*('Projects Overview'!AS$2:AS$5021))</f>
        <v>0</v>
      </c>
      <c r="AK97" s="104" cm="1">
        <f t="array" ref="AK97">SUMPRODUCT(('Projects Overview'!$B$2:$B$5021="AHC Cylinders")*('Projects Overview'!$G$2:$G$5021="Risk Release")*('Projects Overview'!AT$2:AT$5021))</f>
        <v>0</v>
      </c>
      <c r="AL97" s="104" cm="1">
        <f t="array" ref="AL97">SUMPRODUCT(('Projects Overview'!$B$2:$B$5021="AHC Cylinders")*('Projects Overview'!$G$2:$G$5021="Risk Release")*('Projects Overview'!AU$2:AU$5021))</f>
        <v>0</v>
      </c>
      <c r="AM97" s="104" cm="1">
        <f t="array" ref="AM97">SUMPRODUCT(('Projects Overview'!$B$2:$B$5021="AHC Cylinders")*('Projects Overview'!$G$2:$G$5021="Risk Release")*('Projects Overview'!AV$2:AV$5021))</f>
        <v>0</v>
      </c>
    </row>
    <row r="98" spans="1:39" x14ac:dyDescent="0.35">
      <c r="A98" s="222"/>
      <c r="B98" s="228"/>
      <c r="C98" s="3" t="s">
        <v>8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  <c r="I98" s="104" cm="1">
        <f t="array" ref="I98">SUMPRODUCT(('Projects Overview'!$B$2:$B$5021="AHC Cylinders")*('Projects Overview'!$G$2:$G$5021="Forecast")*('Projects Overview'!R$2:R$5021))</f>
        <v>0</v>
      </c>
      <c r="J98" s="104" cm="1">
        <f t="array" ref="J98">SUMPRODUCT(('Projects Overview'!$B$2:$B$5021="AHC Cylinders")*('Projects Overview'!$G$2:$G$5021="Forecast")*('Projects Overview'!S$2:S$5021))</f>
        <v>0</v>
      </c>
      <c r="K98" s="104" cm="1">
        <f t="array" ref="K98">SUMPRODUCT(('Projects Overview'!$B$2:$B$5021="AHC Cylinders")*('Projects Overview'!$G$2:$G$5021="Forecast")*('Projects Overview'!T$2:T$5021))</f>
        <v>0</v>
      </c>
      <c r="L98" s="104" cm="1">
        <f t="array" ref="L98">SUMPRODUCT(('Projects Overview'!$B$2:$B$5021="AHC Cylinders")*('Projects Overview'!$G$2:$G$5021="Forecast")*('Projects Overview'!U$2:U$5021))</f>
        <v>0</v>
      </c>
      <c r="M98" s="104" cm="1">
        <f t="array" ref="M98">SUMPRODUCT(('Projects Overview'!$B$2:$B$5021="AHC Cylinders")*('Projects Overview'!$G$2:$G$5021="Forecast")*('Projects Overview'!V$2:V$5021))</f>
        <v>0</v>
      </c>
      <c r="N98" s="104" cm="1">
        <f t="array" ref="N98">SUMPRODUCT(('Projects Overview'!$B$2:$B$5021="AHC Cylinders")*('Projects Overview'!$G$2:$G$5021="Forecast")*('Projects Overview'!W$2:W$5021))</f>
        <v>0</v>
      </c>
      <c r="O98" s="104" cm="1">
        <f t="array" ref="O98">SUMPRODUCT(('Projects Overview'!$B$2:$B$5021="AHC Cylinders")*('Projects Overview'!$G$2:$G$5021="Forecast")*('Projects Overview'!X$2:X$5021))</f>
        <v>0</v>
      </c>
      <c r="P98" s="104" cm="1">
        <f t="array" ref="P98">SUMPRODUCT(('Projects Overview'!$B$2:$B$5021="AHC Cylinders")*('Projects Overview'!$G$2:$G$5021="Forecast")*('Projects Overview'!Y$2:Y$5021))</f>
        <v>0</v>
      </c>
      <c r="Q98" s="104" cm="1">
        <f t="array" ref="Q98">SUMPRODUCT(('Projects Overview'!$B$2:$B$5021="AHC Cylinders")*('Projects Overview'!$G$2:$G$5021="Forecast")*('Projects Overview'!Z$2:Z$5021))</f>
        <v>0</v>
      </c>
      <c r="R98" s="104" cm="1">
        <f t="array" ref="R98">SUMPRODUCT(('Projects Overview'!$B$2:$B$5021="AHC Cylinders")*('Projects Overview'!$G$2:$G$5021="Forecast")*('Projects Overview'!AA$2:AA$5021))</f>
        <v>0</v>
      </c>
      <c r="S98" s="104" cm="1">
        <f t="array" ref="S98">SUMPRODUCT(('Projects Overview'!$B$2:$B$5021="AHC Cylinders")*('Projects Overview'!$G$2:$G$5021="Forecast")*('Projects Overview'!AB$2:AB$5021))</f>
        <v>0</v>
      </c>
      <c r="T98" s="104" cm="1">
        <f t="array" ref="T98">SUMPRODUCT(('Projects Overview'!$B$2:$B$5021="AHC Cylinders")*('Projects Overview'!$G$2:$G$5021="Forecast")*('Projects Overview'!AC$2:AC$5021))</f>
        <v>0</v>
      </c>
      <c r="U98" s="104" cm="1">
        <f t="array" ref="U98">SUMPRODUCT(('Projects Overview'!$B$2:$B$5021="AHC Cylinders")*('Projects Overview'!$G$2:$G$5021="Forecast")*('Projects Overview'!AD$2:AD$5021))</f>
        <v>0</v>
      </c>
      <c r="V98" s="104" cm="1">
        <f t="array" ref="V98">SUMPRODUCT(('Projects Overview'!$B$2:$B$5021="AHC Cylinders")*('Projects Overview'!$G$2:$G$5021="Forecast")*('Projects Overview'!AE$2:AE$5021))</f>
        <v>0</v>
      </c>
      <c r="W98" s="104" cm="1">
        <f t="array" ref="W98">SUMPRODUCT(('Projects Overview'!$B$2:$B$5021="AHC Cylinders")*('Projects Overview'!$G$2:$G$5021="Forecast")*('Projects Overview'!AF$2:AF$5021))</f>
        <v>0</v>
      </c>
      <c r="X98" s="104" cm="1">
        <f t="array" ref="X98">SUMPRODUCT(('Projects Overview'!$B$2:$B$5021="AHC Cylinders")*('Projects Overview'!$G$2:$G$5021="Forecast")*('Projects Overview'!AG$2:AG$5021))</f>
        <v>0</v>
      </c>
      <c r="Y98" s="104" cm="1">
        <f t="array" ref="Y98">SUMPRODUCT(('Projects Overview'!$B$2:$B$5021="AHC Cylinders")*('Projects Overview'!$G$2:$G$5021="Forecast")*('Projects Overview'!AH$2:AH$5021))</f>
        <v>0</v>
      </c>
      <c r="Z98" s="104" cm="1">
        <f t="array" ref="Z98">SUMPRODUCT(('Projects Overview'!$B$2:$B$5021="AHC Cylinders")*('Projects Overview'!$G$2:$G$5021="Forecast")*('Projects Overview'!AI$2:AI$5021))</f>
        <v>0</v>
      </c>
      <c r="AA98" s="104" cm="1">
        <f t="array" ref="AA98">SUMPRODUCT(('Projects Overview'!$B$2:$B$5021="AHC Cylinders")*('Projects Overview'!$G$2:$G$5021="Forecast")*('Projects Overview'!AJ$2:AJ$5021))</f>
        <v>0</v>
      </c>
      <c r="AB98" s="104" cm="1">
        <f t="array" ref="AB98">SUMPRODUCT(('Projects Overview'!$B$2:$B$5021="AHC Cylinders")*('Projects Overview'!$G$2:$G$5021="Forecast")*('Projects Overview'!AK$2:AK$5021))</f>
        <v>0</v>
      </c>
      <c r="AC98" s="104" cm="1">
        <f t="array" ref="AC98">SUMPRODUCT(('Projects Overview'!$B$2:$B$5021="AHC Cylinders")*('Projects Overview'!$G$2:$G$5021="Forecast")*('Projects Overview'!AL$2:AL$5021))</f>
        <v>0</v>
      </c>
      <c r="AD98" s="104" cm="1">
        <f t="array" ref="AD98">SUMPRODUCT(('Projects Overview'!$B$2:$B$5021="AHC Cylinders")*('Projects Overview'!$G$2:$G$5021="Forecast")*('Projects Overview'!AM$2:AM$5021))</f>
        <v>0</v>
      </c>
      <c r="AE98" s="104" cm="1">
        <f t="array" ref="AE98">SUMPRODUCT(('Projects Overview'!$B$2:$B$5021="AHC Cylinders")*('Projects Overview'!$G$2:$G$5021="Forecast")*('Projects Overview'!AN$2:AN$5021))</f>
        <v>0</v>
      </c>
      <c r="AF98" s="104" cm="1">
        <f t="array" ref="AF98">SUMPRODUCT(('Projects Overview'!$B$2:$B$5021="AHC Cylinders")*('Projects Overview'!$G$2:$G$5021="Forecast")*('Projects Overview'!AO$2:AO$5021))</f>
        <v>0</v>
      </c>
      <c r="AG98" s="104" cm="1">
        <f t="array" ref="AG98">SUMPRODUCT(('Projects Overview'!$B$2:$B$5021="AHC Cylinders")*('Projects Overview'!$G$2:$G$5021="Forecast")*('Projects Overview'!AP$2:AP$5021))</f>
        <v>0</v>
      </c>
      <c r="AH98" s="104" cm="1">
        <f t="array" ref="AH98">SUMPRODUCT(('Projects Overview'!$B$2:$B$5021="AHC Cylinders")*('Projects Overview'!$G$2:$G$5021="Forecast")*('Projects Overview'!AQ$2:AQ$5021))</f>
        <v>0</v>
      </c>
      <c r="AI98" s="104" cm="1">
        <f t="array" ref="AI98">SUMPRODUCT(('Projects Overview'!$B$2:$B$5021="AHC Cylinders")*('Projects Overview'!$G$2:$G$5021="Forecast")*('Projects Overview'!AR$2:AR$5021))</f>
        <v>0</v>
      </c>
      <c r="AJ98" s="104" cm="1">
        <f t="array" ref="AJ98">SUMPRODUCT(('Projects Overview'!$B$2:$B$5021="AHC Cylinders")*('Projects Overview'!$G$2:$G$5021="Forecast")*('Projects Overview'!AS$2:AS$5021))</f>
        <v>0</v>
      </c>
      <c r="AK98" s="104" cm="1">
        <f t="array" ref="AK98">SUMPRODUCT(('Projects Overview'!$B$2:$B$5021="AHC Cylinders")*('Projects Overview'!$G$2:$G$5021="Forecast")*('Projects Overview'!AT$2:AT$5021))</f>
        <v>0</v>
      </c>
      <c r="AL98" s="104" cm="1">
        <f t="array" ref="AL98">SUMPRODUCT(('Projects Overview'!$B$2:$B$5021="AHC Cylinders")*('Projects Overview'!$G$2:$G$5021="Forecast")*('Projects Overview'!AU$2:AU$5021))</f>
        <v>0</v>
      </c>
      <c r="AM98" s="104" cm="1">
        <f t="array" ref="AM98">SUMPRODUCT(('Projects Overview'!$B$2:$B$5021="AHC Cylinders")*('Projects Overview'!$G$2:$G$5021="Forecast")*('Projects Overview'!AV$2:AV$5021))</f>
        <v>0</v>
      </c>
    </row>
    <row r="99" spans="1:39" x14ac:dyDescent="0.35">
      <c r="A99" s="222"/>
      <c r="B99" s="227" t="s">
        <v>158</v>
      </c>
      <c r="C99" s="4" t="s">
        <v>4</v>
      </c>
      <c r="D99" s="104">
        <v>0</v>
      </c>
      <c r="E99" s="104">
        <v>0</v>
      </c>
      <c r="F99" s="104">
        <v>0</v>
      </c>
      <c r="G99" s="104">
        <v>0</v>
      </c>
      <c r="H99" s="104">
        <v>0</v>
      </c>
      <c r="I99" s="104" cm="1">
        <f t="array" ref="I99">SUMPRODUCT(('Projects Overview'!$B$2:$B$5021="Kelly Valves")*('Projects Overview'!$G$2:$G$5021="Firm")*('Projects Overview'!R$2:R$5021))</f>
        <v>0</v>
      </c>
      <c r="J99" s="104" cm="1">
        <f t="array" ref="J99">SUMPRODUCT(('Projects Overview'!$B$2:$B$5021="Kelly Valves")*('Projects Overview'!$G$2:$G$5021="Firm")*('Projects Overview'!S$2:S$5021))</f>
        <v>0</v>
      </c>
      <c r="K99" s="104" cm="1">
        <f t="array" ref="K99">SUMPRODUCT(('Projects Overview'!$B$2:$B$5021="Kelly Valves")*('Projects Overview'!$G$2:$G$5021="Firm")*('Projects Overview'!T$2:T$5021))</f>
        <v>0</v>
      </c>
      <c r="L99" s="104" cm="1">
        <f t="array" ref="L99">SUMPRODUCT(('Projects Overview'!$B$2:$B$5021="Kelly Valves")*('Projects Overview'!$G$2:$G$5021="Firm")*('Projects Overview'!U$2:U$5021))</f>
        <v>0</v>
      </c>
      <c r="M99" s="104" cm="1">
        <f t="array" ref="M99">SUMPRODUCT(('Projects Overview'!$B$2:$B$5021="Kelly Valves")*('Projects Overview'!$G$2:$G$5021="Firm")*('Projects Overview'!V$2:V$5021))</f>
        <v>0</v>
      </c>
      <c r="N99" s="104" cm="1">
        <f t="array" ref="N99">SUMPRODUCT(('Projects Overview'!$B$2:$B$5021="Kelly Valves")*('Projects Overview'!$G$2:$G$5021="Firm")*('Projects Overview'!W$2:W$5021))</f>
        <v>0</v>
      </c>
      <c r="O99" s="104" cm="1">
        <f t="array" ref="O99">SUMPRODUCT(('Projects Overview'!$B$2:$B$5021="Kelly Valves")*('Projects Overview'!$G$2:$G$5021="Firm")*('Projects Overview'!X$2:X$5021))</f>
        <v>0</v>
      </c>
      <c r="P99" s="104" cm="1">
        <f t="array" ref="P99">SUMPRODUCT(('Projects Overview'!$B$2:$B$5021="Kelly Valves")*('Projects Overview'!$G$2:$G$5021="Firm")*('Projects Overview'!Y$2:Y$5021))</f>
        <v>0</v>
      </c>
      <c r="Q99" s="104" cm="1">
        <f t="array" ref="Q99">SUMPRODUCT(('Projects Overview'!$B$2:$B$5021="Kelly Valves")*('Projects Overview'!$G$2:$G$5021="Firm")*('Projects Overview'!Z$2:Z$5021))</f>
        <v>0</v>
      </c>
      <c r="R99" s="104" cm="1">
        <f t="array" ref="R99">SUMPRODUCT(('Projects Overview'!$B$2:$B$5021="Kelly Valves")*('Projects Overview'!$G$2:$G$5021="Firm")*('Projects Overview'!AA$2:AA$5021))</f>
        <v>0</v>
      </c>
      <c r="S99" s="104" cm="1">
        <f t="array" ref="S99">SUMPRODUCT(('Projects Overview'!$B$2:$B$5021="Kelly Valves")*('Projects Overview'!$G$2:$G$5021="Firm")*('Projects Overview'!AB$2:AB$5021))</f>
        <v>0</v>
      </c>
      <c r="T99" s="104" cm="1">
        <f t="array" ref="T99">SUMPRODUCT(('Projects Overview'!$B$2:$B$5021="Kelly Valves")*('Projects Overview'!$G$2:$G$5021="Firm")*('Projects Overview'!AC$2:AC$5021))</f>
        <v>0</v>
      </c>
      <c r="U99" s="104" cm="1">
        <f t="array" ref="U99">SUMPRODUCT(('Projects Overview'!$B$2:$B$5021="Kelly Valves")*('Projects Overview'!$G$2:$G$5021="Firm")*('Projects Overview'!AD$2:AD$5021))</f>
        <v>0</v>
      </c>
      <c r="V99" s="104" cm="1">
        <f t="array" ref="V99">SUMPRODUCT(('Projects Overview'!$B$2:$B$5021="Kelly Valves")*('Projects Overview'!$G$2:$G$5021="Firm")*('Projects Overview'!AE$2:AE$5021))</f>
        <v>0</v>
      </c>
      <c r="W99" s="104" cm="1">
        <f t="array" ref="W99">SUMPRODUCT(('Projects Overview'!$B$2:$B$5021="Kelly Valves")*('Projects Overview'!$G$2:$G$5021="Firm")*('Projects Overview'!AF$2:AF$5021))</f>
        <v>0</v>
      </c>
      <c r="X99" s="104" cm="1">
        <f t="array" ref="X99">SUMPRODUCT(('Projects Overview'!$B$2:$B$5021="Kelly Valves")*('Projects Overview'!$G$2:$G$5021="Firm")*('Projects Overview'!AG$2:AG$5021))</f>
        <v>0</v>
      </c>
      <c r="Y99" s="104" cm="1">
        <f t="array" ref="Y99">SUMPRODUCT(('Projects Overview'!$B$2:$B$5021="Kelly Valves")*('Projects Overview'!$G$2:$G$5021="Firm")*('Projects Overview'!AH$2:AH$5021))</f>
        <v>0</v>
      </c>
      <c r="Z99" s="104" cm="1">
        <f t="array" ref="Z99">SUMPRODUCT(('Projects Overview'!$B$2:$B$5021="Kelly Valves")*('Projects Overview'!$G$2:$G$5021="Firm")*('Projects Overview'!AI$2:AI$5021))</f>
        <v>0</v>
      </c>
      <c r="AA99" s="104" cm="1">
        <f t="array" ref="AA99">SUMPRODUCT(('Projects Overview'!$B$2:$B$5021="Kelly Valves")*('Projects Overview'!$G$2:$G$5021="Firm")*('Projects Overview'!AJ$2:AJ$5021))</f>
        <v>0</v>
      </c>
      <c r="AB99" s="104" cm="1">
        <f t="array" ref="AB99">SUMPRODUCT(('Projects Overview'!$B$2:$B$5021="Kelly Valves")*('Projects Overview'!$G$2:$G$5021="Firm")*('Projects Overview'!AK$2:AK$5021))</f>
        <v>0</v>
      </c>
      <c r="AC99" s="104" cm="1">
        <f t="array" ref="AC99">SUMPRODUCT(('Projects Overview'!$B$2:$B$5021="Kelly Valves")*('Projects Overview'!$G$2:$G$5021="Firm")*('Projects Overview'!AL$2:AL$5021))</f>
        <v>0</v>
      </c>
      <c r="AD99" s="104" cm="1">
        <f t="array" ref="AD99">SUMPRODUCT(('Projects Overview'!$B$2:$B$5021="Kelly Valves")*('Projects Overview'!$G$2:$G$5021="Firm")*('Projects Overview'!AM$2:AM$5021))</f>
        <v>0</v>
      </c>
      <c r="AE99" s="104" cm="1">
        <f t="array" ref="AE99">SUMPRODUCT(('Projects Overview'!$B$2:$B$5021="Kelly Valves")*('Projects Overview'!$G$2:$G$5021="Firm")*('Projects Overview'!AN$2:AN$5021))</f>
        <v>0</v>
      </c>
      <c r="AF99" s="104" cm="1">
        <f t="array" ref="AF99">SUMPRODUCT(('Projects Overview'!$B$2:$B$5021="Kelly Valves")*('Projects Overview'!$G$2:$G$5021="Firm")*('Projects Overview'!AO$2:AO$5021))</f>
        <v>0</v>
      </c>
      <c r="AG99" s="104" cm="1">
        <f t="array" ref="AG99">SUMPRODUCT(('Projects Overview'!$B$2:$B$5021="Kelly Valves")*('Projects Overview'!$G$2:$G$5021="Firm")*('Projects Overview'!AP$2:AP$5021))</f>
        <v>0</v>
      </c>
      <c r="AH99" s="104" cm="1">
        <f t="array" ref="AH99">SUMPRODUCT(('Projects Overview'!$B$2:$B$5021="Kelly Valves")*('Projects Overview'!$G$2:$G$5021="Firm")*('Projects Overview'!AQ$2:AQ$5021))</f>
        <v>0</v>
      </c>
      <c r="AI99" s="104" cm="1">
        <f t="array" ref="AI99">SUMPRODUCT(('Projects Overview'!$B$2:$B$5021="Kelly Valves")*('Projects Overview'!$G$2:$G$5021="Firm")*('Projects Overview'!AR$2:AR$5021))</f>
        <v>0</v>
      </c>
      <c r="AJ99" s="104" cm="1">
        <f t="array" ref="AJ99">SUMPRODUCT(('Projects Overview'!$B$2:$B$5021="Kelly Valves")*('Projects Overview'!$G$2:$G$5021="Firm")*('Projects Overview'!AS$2:AS$5021))</f>
        <v>0</v>
      </c>
      <c r="AK99" s="104" cm="1">
        <f t="array" ref="AK99">SUMPRODUCT(('Projects Overview'!$B$2:$B$5021="Kelly Valves")*('Projects Overview'!$G$2:$G$5021="Firm")*('Projects Overview'!AT$2:AT$5021))</f>
        <v>0</v>
      </c>
      <c r="AL99" s="104" cm="1">
        <f t="array" ref="AL99">SUMPRODUCT(('Projects Overview'!$B$2:$B$5021="Kelly Valves")*('Projects Overview'!$G$2:$G$5021="Firm")*('Projects Overview'!AU$2:AU$5021))</f>
        <v>0</v>
      </c>
      <c r="AM99" s="104" cm="1">
        <f t="array" ref="AM99">SUMPRODUCT(('Projects Overview'!$B$2:$B$5021="Kelly Valves")*('Projects Overview'!$G$2:$G$5021="Firm")*('Projects Overview'!AV$2:AV$5021))</f>
        <v>0</v>
      </c>
    </row>
    <row r="100" spans="1:39" x14ac:dyDescent="0.35">
      <c r="A100" s="222"/>
      <c r="B100" s="227"/>
      <c r="C100" s="2" t="s">
        <v>6</v>
      </c>
      <c r="D100" s="104">
        <v>0</v>
      </c>
      <c r="E100" s="104">
        <v>0</v>
      </c>
      <c r="F100" s="104">
        <v>0</v>
      </c>
      <c r="G100" s="104">
        <v>0</v>
      </c>
      <c r="H100" s="104">
        <v>0</v>
      </c>
      <c r="I100" s="104" cm="1">
        <f t="array" ref="I100">SUMPRODUCT(('Projects Overview'!$B$2:$B$5021="Kelly Valves")*('Projects Overview'!$G$2:$G$5021="Risk Release")*('Projects Overview'!R$2:R$5021))</f>
        <v>0</v>
      </c>
      <c r="J100" s="104" cm="1">
        <f t="array" ref="J100">SUMPRODUCT(('Projects Overview'!$B$2:$B$5021="Kelly Valves")*('Projects Overview'!$G$2:$G$5021="Risk Release")*('Projects Overview'!S$2:S$5021))</f>
        <v>0</v>
      </c>
      <c r="K100" s="104" cm="1">
        <f t="array" ref="K100">SUMPRODUCT(('Projects Overview'!$B$2:$B$5021="Kelly Valves")*('Projects Overview'!$G$2:$G$5021="Risk Release")*('Projects Overview'!T$2:T$5021))</f>
        <v>0</v>
      </c>
      <c r="L100" s="104" cm="1">
        <f t="array" ref="L100">SUMPRODUCT(('Projects Overview'!$B$2:$B$5021="Kelly Valves")*('Projects Overview'!$G$2:$G$5021="Risk Release")*('Projects Overview'!U$2:U$5021))</f>
        <v>0</v>
      </c>
      <c r="M100" s="104" cm="1">
        <f t="array" ref="M100">SUMPRODUCT(('Projects Overview'!$B$2:$B$5021="Kelly Valves")*('Projects Overview'!$G$2:$G$5021="Risk Release")*('Projects Overview'!V$2:V$5021))</f>
        <v>0</v>
      </c>
      <c r="N100" s="104" cm="1">
        <f t="array" ref="N100">SUMPRODUCT(('Projects Overview'!$B$2:$B$5021="Kelly Valves")*('Projects Overview'!$G$2:$G$5021="Risk Release")*('Projects Overview'!W$2:W$5021))</f>
        <v>0</v>
      </c>
      <c r="O100" s="104" cm="1">
        <f t="array" ref="O100">SUMPRODUCT(('Projects Overview'!$B$2:$B$5021="Kelly Valves")*('Projects Overview'!$G$2:$G$5021="Risk Release")*('Projects Overview'!X$2:X$5021))</f>
        <v>0</v>
      </c>
      <c r="P100" s="104" cm="1">
        <f t="array" ref="P100">SUMPRODUCT(('Projects Overview'!$B$2:$B$5021="Kelly Valves")*('Projects Overview'!$G$2:$G$5021="Risk Release")*('Projects Overview'!Y$2:Y$5021))</f>
        <v>0</v>
      </c>
      <c r="Q100" s="104" cm="1">
        <f t="array" ref="Q100">SUMPRODUCT(('Projects Overview'!$B$2:$B$5021="Kelly Valves")*('Projects Overview'!$G$2:$G$5021="Risk Release")*('Projects Overview'!Z$2:Z$5021))</f>
        <v>0</v>
      </c>
      <c r="R100" s="104" cm="1">
        <f t="array" ref="R100">SUMPRODUCT(('Projects Overview'!$B$2:$B$5021="Kelly Valves")*('Projects Overview'!$G$2:$G$5021="Risk Release")*('Projects Overview'!AA$2:AA$5021))</f>
        <v>0</v>
      </c>
      <c r="S100" s="104" cm="1">
        <f t="array" ref="S100">SUMPRODUCT(('Projects Overview'!$B$2:$B$5021="Kelly Valves")*('Projects Overview'!$G$2:$G$5021="Risk Release")*('Projects Overview'!AB$2:AB$5021))</f>
        <v>0</v>
      </c>
      <c r="T100" s="104" cm="1">
        <f t="array" ref="T100">SUMPRODUCT(('Projects Overview'!$B$2:$B$5021="Kelly Valves")*('Projects Overview'!$G$2:$G$5021="Risk Release")*('Projects Overview'!AC$2:AC$5021))</f>
        <v>0</v>
      </c>
      <c r="U100" s="104" cm="1">
        <f t="array" ref="U100">SUMPRODUCT(('Projects Overview'!$B$2:$B$5021="Kelly Valves")*('Projects Overview'!$G$2:$G$5021="Risk Release")*('Projects Overview'!AD$2:AD$5021))</f>
        <v>0</v>
      </c>
      <c r="V100" s="104" cm="1">
        <f t="array" ref="V100">SUMPRODUCT(('Projects Overview'!$B$2:$B$5021="Kelly Valves")*('Projects Overview'!$G$2:$G$5021="Risk Release")*('Projects Overview'!AE$2:AE$5021))</f>
        <v>0</v>
      </c>
      <c r="W100" s="104" cm="1">
        <f t="array" ref="W100">SUMPRODUCT(('Projects Overview'!$B$2:$B$5021="Kelly Valves")*('Projects Overview'!$G$2:$G$5021="Risk Release")*('Projects Overview'!AF$2:AF$5021))</f>
        <v>0</v>
      </c>
      <c r="X100" s="104" cm="1">
        <f t="array" ref="X100">SUMPRODUCT(('Projects Overview'!$B$2:$B$5021="Kelly Valves")*('Projects Overview'!$G$2:$G$5021="Risk Release")*('Projects Overview'!AG$2:AG$5021))</f>
        <v>0</v>
      </c>
      <c r="Y100" s="104" cm="1">
        <f t="array" ref="Y100">SUMPRODUCT(('Projects Overview'!$B$2:$B$5021="Kelly Valves")*('Projects Overview'!$G$2:$G$5021="Risk Release")*('Projects Overview'!AH$2:AH$5021))</f>
        <v>0</v>
      </c>
      <c r="Z100" s="104" cm="1">
        <f t="array" ref="Z100">SUMPRODUCT(('Projects Overview'!$B$2:$B$5021="Kelly Valves")*('Projects Overview'!$G$2:$G$5021="Risk Release")*('Projects Overview'!AI$2:AI$5021))</f>
        <v>0</v>
      </c>
      <c r="AA100" s="104" cm="1">
        <f t="array" ref="AA100">SUMPRODUCT(('Projects Overview'!$B$2:$B$5021="Kelly Valves")*('Projects Overview'!$G$2:$G$5021="Risk Release")*('Projects Overview'!AJ$2:AJ$5021))</f>
        <v>0</v>
      </c>
      <c r="AB100" s="104" cm="1">
        <f t="array" ref="AB100">SUMPRODUCT(('Projects Overview'!$B$2:$B$5021="Kelly Valves")*('Projects Overview'!$G$2:$G$5021="Risk Release")*('Projects Overview'!AK$2:AK$5021))</f>
        <v>0</v>
      </c>
      <c r="AC100" s="104" cm="1">
        <f t="array" ref="AC100">SUMPRODUCT(('Projects Overview'!$B$2:$B$5021="Kelly Valves")*('Projects Overview'!$G$2:$G$5021="Risk Release")*('Projects Overview'!AL$2:AL$5021))</f>
        <v>0</v>
      </c>
      <c r="AD100" s="104" cm="1">
        <f t="array" ref="AD100">SUMPRODUCT(('Projects Overview'!$B$2:$B$5021="Kelly Valves")*('Projects Overview'!$G$2:$G$5021="Risk Release")*('Projects Overview'!AM$2:AM$5021))</f>
        <v>0</v>
      </c>
      <c r="AE100" s="104" cm="1">
        <f t="array" ref="AE100">SUMPRODUCT(('Projects Overview'!$B$2:$B$5021="Kelly Valves")*('Projects Overview'!$G$2:$G$5021="Risk Release")*('Projects Overview'!AN$2:AN$5021))</f>
        <v>0</v>
      </c>
      <c r="AF100" s="104" cm="1">
        <f t="array" ref="AF100">SUMPRODUCT(('Projects Overview'!$B$2:$B$5021="Kelly Valves")*('Projects Overview'!$G$2:$G$5021="Risk Release")*('Projects Overview'!AO$2:AO$5021))</f>
        <v>0</v>
      </c>
      <c r="AG100" s="104" cm="1">
        <f t="array" ref="AG100">SUMPRODUCT(('Projects Overview'!$B$2:$B$5021="Kelly Valves")*('Projects Overview'!$G$2:$G$5021="Risk Release")*('Projects Overview'!AP$2:AP$5021))</f>
        <v>0</v>
      </c>
      <c r="AH100" s="104" cm="1">
        <f t="array" ref="AH100">SUMPRODUCT(('Projects Overview'!$B$2:$B$5021="Kelly Valves")*('Projects Overview'!$G$2:$G$5021="Risk Release")*('Projects Overview'!AQ$2:AQ$5021))</f>
        <v>0</v>
      </c>
      <c r="AI100" s="104" cm="1">
        <f t="array" ref="AI100">SUMPRODUCT(('Projects Overview'!$B$2:$B$5021="Kelly Valves")*('Projects Overview'!$G$2:$G$5021="Risk Release")*('Projects Overview'!AR$2:AR$5021))</f>
        <v>0</v>
      </c>
      <c r="AJ100" s="104" cm="1">
        <f t="array" ref="AJ100">SUMPRODUCT(('Projects Overview'!$B$2:$B$5021="Kelly Valves")*('Projects Overview'!$G$2:$G$5021="Risk Release")*('Projects Overview'!AS$2:AS$5021))</f>
        <v>0</v>
      </c>
      <c r="AK100" s="104" cm="1">
        <f t="array" ref="AK100">SUMPRODUCT(('Projects Overview'!$B$2:$B$5021="Kelly Valves")*('Projects Overview'!$G$2:$G$5021="Risk Release")*('Projects Overview'!AT$2:AT$5021))</f>
        <v>0</v>
      </c>
      <c r="AL100" s="104" cm="1">
        <f t="array" ref="AL100">SUMPRODUCT(('Projects Overview'!$B$2:$B$5021="Kelly Valves")*('Projects Overview'!$G$2:$G$5021="Risk Release")*('Projects Overview'!AU$2:AU$5021))</f>
        <v>0</v>
      </c>
      <c r="AM100" s="104" cm="1">
        <f t="array" ref="AM100">SUMPRODUCT(('Projects Overview'!$B$2:$B$5021="Kelly Valves")*('Projects Overview'!$G$2:$G$5021="Risk Release")*('Projects Overview'!AV$2:AV$5021))</f>
        <v>0</v>
      </c>
    </row>
    <row r="101" spans="1:39" x14ac:dyDescent="0.35">
      <c r="A101" s="222"/>
      <c r="B101" s="228"/>
      <c r="C101" s="3" t="s">
        <v>8</v>
      </c>
      <c r="D101" s="104">
        <v>0</v>
      </c>
      <c r="E101" s="104">
        <v>0</v>
      </c>
      <c r="F101" s="104">
        <v>0</v>
      </c>
      <c r="G101" s="104">
        <v>0</v>
      </c>
      <c r="H101" s="104">
        <v>0</v>
      </c>
      <c r="I101" s="104" cm="1">
        <f t="array" ref="I101">SUMPRODUCT(('Projects Overview'!$B$2:$B$5021="Kelly Valves")*('Projects Overview'!$G$2:$G$5021="Forecast")*('Projects Overview'!R$2:R$5021))</f>
        <v>0</v>
      </c>
      <c r="J101" s="104" cm="1">
        <f t="array" ref="J101">SUMPRODUCT(('Projects Overview'!$B$2:$B$5021="Kelly Valves")*('Projects Overview'!$G$2:$G$5021="Forecast")*('Projects Overview'!S$2:S$5021))</f>
        <v>0</v>
      </c>
      <c r="K101" s="104" cm="1">
        <f t="array" ref="K101">SUMPRODUCT(('Projects Overview'!$B$2:$B$5021="Kelly Valves")*('Projects Overview'!$G$2:$G$5021="Forecast")*('Projects Overview'!T$2:T$5021))</f>
        <v>0</v>
      </c>
      <c r="L101" s="104" cm="1">
        <f t="array" ref="L101">SUMPRODUCT(('Projects Overview'!$B$2:$B$5021="Kelly Valves")*('Projects Overview'!$G$2:$G$5021="Forecast")*('Projects Overview'!U$2:U$5021))</f>
        <v>0</v>
      </c>
      <c r="M101" s="104" cm="1">
        <f t="array" ref="M101">SUMPRODUCT(('Projects Overview'!$B$2:$B$5021="Kelly Valves")*('Projects Overview'!$G$2:$G$5021="Forecast")*('Projects Overview'!V$2:V$5021))</f>
        <v>0</v>
      </c>
      <c r="N101" s="104" cm="1">
        <f t="array" ref="N101">SUMPRODUCT(('Projects Overview'!$B$2:$B$5021="Kelly Valves")*('Projects Overview'!$G$2:$G$5021="Forecast")*('Projects Overview'!W$2:W$5021))</f>
        <v>0</v>
      </c>
      <c r="O101" s="104" cm="1">
        <f t="array" ref="O101">SUMPRODUCT(('Projects Overview'!$B$2:$B$5021="Kelly Valves")*('Projects Overview'!$G$2:$G$5021="Forecast")*('Projects Overview'!X$2:X$5021))</f>
        <v>0</v>
      </c>
      <c r="P101" s="104" cm="1">
        <f t="array" ref="P101">SUMPRODUCT(('Projects Overview'!$B$2:$B$5021="Kelly Valves")*('Projects Overview'!$G$2:$G$5021="Forecast")*('Projects Overview'!Y$2:Y$5021))</f>
        <v>0</v>
      </c>
      <c r="Q101" s="104" cm="1">
        <f t="array" ref="Q101">SUMPRODUCT(('Projects Overview'!$B$2:$B$5021="Kelly Valves")*('Projects Overview'!$G$2:$G$5021="Forecast")*('Projects Overview'!Z$2:Z$5021))</f>
        <v>0</v>
      </c>
      <c r="R101" s="104" cm="1">
        <f t="array" ref="R101">SUMPRODUCT(('Projects Overview'!$B$2:$B$5021="Kelly Valves")*('Projects Overview'!$G$2:$G$5021="Forecast")*('Projects Overview'!AA$2:AA$5021))</f>
        <v>0</v>
      </c>
      <c r="S101" s="104" cm="1">
        <f t="array" ref="S101">SUMPRODUCT(('Projects Overview'!$B$2:$B$5021="Kelly Valves")*('Projects Overview'!$G$2:$G$5021="Forecast")*('Projects Overview'!AB$2:AB$5021))</f>
        <v>0</v>
      </c>
      <c r="T101" s="104" cm="1">
        <f t="array" ref="T101">SUMPRODUCT(('Projects Overview'!$B$2:$B$5021="Kelly Valves")*('Projects Overview'!$G$2:$G$5021="Forecast")*('Projects Overview'!AC$2:AC$5021))</f>
        <v>0</v>
      </c>
      <c r="U101" s="104" cm="1">
        <f t="array" ref="U101">SUMPRODUCT(('Projects Overview'!$B$2:$B$5021="Kelly Valves")*('Projects Overview'!$G$2:$G$5021="Forecast")*('Projects Overview'!AD$2:AD$5021))</f>
        <v>0</v>
      </c>
      <c r="V101" s="104" cm="1">
        <f t="array" ref="V101">SUMPRODUCT(('Projects Overview'!$B$2:$B$5021="Kelly Valves")*('Projects Overview'!$G$2:$G$5021="Forecast")*('Projects Overview'!AE$2:AE$5021))</f>
        <v>0</v>
      </c>
      <c r="W101" s="104" cm="1">
        <f t="array" ref="W101">SUMPRODUCT(('Projects Overview'!$B$2:$B$5021="Kelly Valves")*('Projects Overview'!$G$2:$G$5021="Forecast")*('Projects Overview'!AF$2:AF$5021))</f>
        <v>0</v>
      </c>
      <c r="X101" s="104" cm="1">
        <f t="array" ref="X101">SUMPRODUCT(('Projects Overview'!$B$2:$B$5021="Kelly Valves")*('Projects Overview'!$G$2:$G$5021="Forecast")*('Projects Overview'!AG$2:AG$5021))</f>
        <v>0</v>
      </c>
      <c r="Y101" s="104" cm="1">
        <f t="array" ref="Y101">SUMPRODUCT(('Projects Overview'!$B$2:$B$5021="Kelly Valves")*('Projects Overview'!$G$2:$G$5021="Forecast")*('Projects Overview'!AH$2:AH$5021))</f>
        <v>0</v>
      </c>
      <c r="Z101" s="104" cm="1">
        <f t="array" ref="Z101">SUMPRODUCT(('Projects Overview'!$B$2:$B$5021="Kelly Valves")*('Projects Overview'!$G$2:$G$5021="Forecast")*('Projects Overview'!AI$2:AI$5021))</f>
        <v>0</v>
      </c>
      <c r="AA101" s="104" cm="1">
        <f t="array" ref="AA101">SUMPRODUCT(('Projects Overview'!$B$2:$B$5021="Kelly Valves")*('Projects Overview'!$G$2:$G$5021="Forecast")*('Projects Overview'!AJ$2:AJ$5021))</f>
        <v>0</v>
      </c>
      <c r="AB101" s="104" cm="1">
        <f t="array" ref="AB101">SUMPRODUCT(('Projects Overview'!$B$2:$B$5021="Kelly Valves")*('Projects Overview'!$G$2:$G$5021="Forecast")*('Projects Overview'!AK$2:AK$5021))</f>
        <v>0</v>
      </c>
      <c r="AC101" s="104" cm="1">
        <f t="array" ref="AC101">SUMPRODUCT(('Projects Overview'!$B$2:$B$5021="Kelly Valves")*('Projects Overview'!$G$2:$G$5021="Forecast")*('Projects Overview'!AL$2:AL$5021))</f>
        <v>0</v>
      </c>
      <c r="AD101" s="104" cm="1">
        <f t="array" ref="AD101">SUMPRODUCT(('Projects Overview'!$B$2:$B$5021="Kelly Valves")*('Projects Overview'!$G$2:$G$5021="Forecast")*('Projects Overview'!AM$2:AM$5021))</f>
        <v>0</v>
      </c>
      <c r="AE101" s="104" cm="1">
        <f t="array" ref="AE101">SUMPRODUCT(('Projects Overview'!$B$2:$B$5021="Kelly Valves")*('Projects Overview'!$G$2:$G$5021="Forecast")*('Projects Overview'!AN$2:AN$5021))</f>
        <v>0</v>
      </c>
      <c r="AF101" s="104" cm="1">
        <f t="array" ref="AF101">SUMPRODUCT(('Projects Overview'!$B$2:$B$5021="Kelly Valves")*('Projects Overview'!$G$2:$G$5021="Forecast")*('Projects Overview'!AO$2:AO$5021))</f>
        <v>0</v>
      </c>
      <c r="AG101" s="104" cm="1">
        <f t="array" ref="AG101">SUMPRODUCT(('Projects Overview'!$B$2:$B$5021="Kelly Valves")*('Projects Overview'!$G$2:$G$5021="Forecast")*('Projects Overview'!AP$2:AP$5021))</f>
        <v>0</v>
      </c>
      <c r="AH101" s="104" cm="1">
        <f t="array" ref="AH101">SUMPRODUCT(('Projects Overview'!$B$2:$B$5021="Kelly Valves")*('Projects Overview'!$G$2:$G$5021="Forecast")*('Projects Overview'!AQ$2:AQ$5021))</f>
        <v>0</v>
      </c>
      <c r="AI101" s="104" cm="1">
        <f t="array" ref="AI101">SUMPRODUCT(('Projects Overview'!$B$2:$B$5021="Kelly Valves")*('Projects Overview'!$G$2:$G$5021="Forecast")*('Projects Overview'!AR$2:AR$5021))</f>
        <v>0</v>
      </c>
      <c r="AJ101" s="104" cm="1">
        <f t="array" ref="AJ101">SUMPRODUCT(('Projects Overview'!$B$2:$B$5021="Kelly Valves")*('Projects Overview'!$G$2:$G$5021="Forecast")*('Projects Overview'!AS$2:AS$5021))</f>
        <v>0</v>
      </c>
      <c r="AK101" s="104" cm="1">
        <f t="array" ref="AK101">SUMPRODUCT(('Projects Overview'!$B$2:$B$5021="Kelly Valves")*('Projects Overview'!$G$2:$G$5021="Forecast")*('Projects Overview'!AT$2:AT$5021))</f>
        <v>0</v>
      </c>
      <c r="AL101" s="104" cm="1">
        <f t="array" ref="AL101">SUMPRODUCT(('Projects Overview'!$B$2:$B$5021="Kelly Valves")*('Projects Overview'!$G$2:$G$5021="Forecast")*('Projects Overview'!AU$2:AU$5021))</f>
        <v>0</v>
      </c>
      <c r="AM101" s="104" cm="1">
        <f t="array" ref="AM101">SUMPRODUCT(('Projects Overview'!$B$2:$B$5021="Kelly Valves")*('Projects Overview'!$G$2:$G$5021="Forecast")*('Projects Overview'!AV$2:AV$5021))</f>
        <v>0</v>
      </c>
    </row>
    <row r="102" spans="1:39" x14ac:dyDescent="0.35">
      <c r="A102" s="222"/>
      <c r="B102" s="227" t="s">
        <v>160</v>
      </c>
      <c r="C102" s="4" t="s">
        <v>4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  <c r="I102" s="104" cm="1">
        <f t="array" ref="I102">SUMPRODUCT(('Projects Overview'!$B$2:$B$5021="Shaft and Pumps")*('Projects Overview'!$G$2:$G$5021="Firm")*('Projects Overview'!R$2:R$5021))</f>
        <v>0</v>
      </c>
      <c r="J102" s="104" cm="1">
        <f t="array" ref="J102">SUMPRODUCT(('Projects Overview'!$B$2:$B$5021="Shaft and Pumps")*('Projects Overview'!$G$2:$G$5021="Firm")*('Projects Overview'!S$2:S$5021))</f>
        <v>0</v>
      </c>
      <c r="K102" s="104" cm="1">
        <f t="array" ref="K102">SUMPRODUCT(('Projects Overview'!$B$2:$B$5021="Shaft and Pumps")*('Projects Overview'!$G$2:$G$5021="Firm")*('Projects Overview'!T$2:T$5021))</f>
        <v>0</v>
      </c>
      <c r="L102" s="104" cm="1">
        <f t="array" ref="L102">SUMPRODUCT(('Projects Overview'!$B$2:$B$5021="Shaft and Pumps")*('Projects Overview'!$G$2:$G$5021="Firm")*('Projects Overview'!U$2:U$5021))</f>
        <v>0</v>
      </c>
      <c r="M102" s="104" cm="1">
        <f t="array" ref="M102">SUMPRODUCT(('Projects Overview'!$B$2:$B$5021="Shaft and Pumps")*('Projects Overview'!$G$2:$G$5021="Firm")*('Projects Overview'!V$2:V$5021))</f>
        <v>0</v>
      </c>
      <c r="N102" s="104" cm="1">
        <f t="array" ref="N102">SUMPRODUCT(('Projects Overview'!$B$2:$B$5021="Shaft and Pumps")*('Projects Overview'!$G$2:$G$5021="Firm")*('Projects Overview'!W$2:W$5021))</f>
        <v>0</v>
      </c>
      <c r="O102" s="104" cm="1">
        <f t="array" ref="O102">SUMPRODUCT(('Projects Overview'!$B$2:$B$5021="Shaft and Pumps")*('Projects Overview'!$G$2:$G$5021="Firm")*('Projects Overview'!X$2:X$5021))</f>
        <v>0</v>
      </c>
      <c r="P102" s="104" cm="1">
        <f t="array" ref="P102">SUMPRODUCT(('Projects Overview'!$B$2:$B$5021="Shaft and Pumps")*('Projects Overview'!$G$2:$G$5021="Firm")*('Projects Overview'!Y$2:Y$5021))</f>
        <v>0</v>
      </c>
      <c r="Q102" s="104" cm="1">
        <f t="array" ref="Q102">SUMPRODUCT(('Projects Overview'!$B$2:$B$5021="Shaft and Pumps")*('Projects Overview'!$G$2:$G$5021="Firm")*('Projects Overview'!Z$2:Z$5021))</f>
        <v>0</v>
      </c>
      <c r="R102" s="104" cm="1">
        <f t="array" ref="R102">SUMPRODUCT(('Projects Overview'!$B$2:$B$5021="Shaft and Pumps")*('Projects Overview'!$G$2:$G$5021="Firm")*('Projects Overview'!AA$2:AA$5021))</f>
        <v>0</v>
      </c>
      <c r="S102" s="104" cm="1">
        <f t="array" ref="S102">SUMPRODUCT(('Projects Overview'!$B$2:$B$5021="Shaft and Pumps")*('Projects Overview'!$G$2:$G$5021="Firm")*('Projects Overview'!AB$2:AB$5021))</f>
        <v>0</v>
      </c>
      <c r="T102" s="104" cm="1">
        <f t="array" ref="T102">SUMPRODUCT(('Projects Overview'!$B$2:$B$5021="Shaft and Pumps")*('Projects Overview'!$G$2:$G$5021="Firm")*('Projects Overview'!AC$2:AC$5021))</f>
        <v>0</v>
      </c>
      <c r="U102" s="104" cm="1">
        <f t="array" ref="U102">SUMPRODUCT(('Projects Overview'!$B$2:$B$5021="Shaft and Pumps")*('Projects Overview'!$G$2:$G$5021="Firm")*('Projects Overview'!AD$2:AD$5021))</f>
        <v>0</v>
      </c>
      <c r="V102" s="104" cm="1">
        <f t="array" ref="V102">SUMPRODUCT(('Projects Overview'!$B$2:$B$5021="Shaft and Pumps")*('Projects Overview'!$G$2:$G$5021="Firm")*('Projects Overview'!AE$2:AE$5021))</f>
        <v>0</v>
      </c>
      <c r="W102" s="104" cm="1">
        <f t="array" ref="W102">SUMPRODUCT(('Projects Overview'!$B$2:$B$5021="Shaft and Pumps")*('Projects Overview'!$G$2:$G$5021="Firm")*('Projects Overview'!AF$2:AF$5021))</f>
        <v>0</v>
      </c>
      <c r="X102" s="104" cm="1">
        <f t="array" ref="X102">SUMPRODUCT(('Projects Overview'!$B$2:$B$5021="Shaft and Pumps")*('Projects Overview'!$G$2:$G$5021="Firm")*('Projects Overview'!AG$2:AG$5021))</f>
        <v>0</v>
      </c>
      <c r="Y102" s="104" cm="1">
        <f t="array" ref="Y102">SUMPRODUCT(('Projects Overview'!$B$2:$B$5021="Shaft and Pumps")*('Projects Overview'!$G$2:$G$5021="Firm")*('Projects Overview'!AH$2:AH$5021))</f>
        <v>0</v>
      </c>
      <c r="Z102" s="104" cm="1">
        <f t="array" ref="Z102">SUMPRODUCT(('Projects Overview'!$B$2:$B$5021="Shaft and Pumps")*('Projects Overview'!$G$2:$G$5021="Firm")*('Projects Overview'!AI$2:AI$5021))</f>
        <v>0</v>
      </c>
      <c r="AA102" s="104" cm="1">
        <f t="array" ref="AA102">SUMPRODUCT(('Projects Overview'!$B$2:$B$5021="Shaft and Pumps")*('Projects Overview'!$G$2:$G$5021="Firm")*('Projects Overview'!AJ$2:AJ$5021))</f>
        <v>0</v>
      </c>
      <c r="AB102" s="104" cm="1">
        <f t="array" ref="AB102">SUMPRODUCT(('Projects Overview'!$B$2:$B$5021="Shaft and Pumps")*('Projects Overview'!$G$2:$G$5021="Firm")*('Projects Overview'!AK$2:AK$5021))</f>
        <v>0</v>
      </c>
      <c r="AC102" s="104" cm="1">
        <f t="array" ref="AC102">SUMPRODUCT(('Projects Overview'!$B$2:$B$5021="Shaft and Pumps")*('Projects Overview'!$G$2:$G$5021="Firm")*('Projects Overview'!AL$2:AL$5021))</f>
        <v>0</v>
      </c>
      <c r="AD102" s="104" cm="1">
        <f t="array" ref="AD102">SUMPRODUCT(('Projects Overview'!$B$2:$B$5021="Shaft and Pumps")*('Projects Overview'!$G$2:$G$5021="Firm")*('Projects Overview'!AM$2:AM$5021))</f>
        <v>0</v>
      </c>
      <c r="AE102" s="104" cm="1">
        <f t="array" ref="AE102">SUMPRODUCT(('Projects Overview'!$B$2:$B$5021="Shaft and Pumps")*('Projects Overview'!$G$2:$G$5021="Firm")*('Projects Overview'!AN$2:AN$5021))</f>
        <v>0</v>
      </c>
      <c r="AF102" s="104" cm="1">
        <f t="array" ref="AF102">SUMPRODUCT(('Projects Overview'!$B$2:$B$5021="Shaft and Pumps")*('Projects Overview'!$G$2:$G$5021="Firm")*('Projects Overview'!AO$2:AO$5021))</f>
        <v>0</v>
      </c>
      <c r="AG102" s="104" cm="1">
        <f t="array" ref="AG102">SUMPRODUCT(('Projects Overview'!$B$2:$B$5021="Shaft and Pumps")*('Projects Overview'!$G$2:$G$5021="Firm")*('Projects Overview'!AP$2:AP$5021))</f>
        <v>0</v>
      </c>
      <c r="AH102" s="104" cm="1">
        <f t="array" ref="AH102">SUMPRODUCT(('Projects Overview'!$B$2:$B$5021="Shaft and Pumps")*('Projects Overview'!$G$2:$G$5021="Firm")*('Projects Overview'!AQ$2:AQ$5021))</f>
        <v>0</v>
      </c>
      <c r="AI102" s="104" cm="1">
        <f t="array" ref="AI102">SUMPRODUCT(('Projects Overview'!$B$2:$B$5021="Shaft and Pumps")*('Projects Overview'!$G$2:$G$5021="Firm")*('Projects Overview'!AR$2:AR$5021))</f>
        <v>0</v>
      </c>
      <c r="AJ102" s="104" cm="1">
        <f t="array" ref="AJ102">SUMPRODUCT(('Projects Overview'!$B$2:$B$5021="Shaft and Pumps")*('Projects Overview'!$G$2:$G$5021="Firm")*('Projects Overview'!AS$2:AS$5021))</f>
        <v>0</v>
      </c>
      <c r="AK102" s="104" cm="1">
        <f t="array" ref="AK102">SUMPRODUCT(('Projects Overview'!$B$2:$B$5021="Shaft and Pumps")*('Projects Overview'!$G$2:$G$5021="Firm")*('Projects Overview'!AT$2:AT$5021))</f>
        <v>0</v>
      </c>
      <c r="AL102" s="104" cm="1">
        <f t="array" ref="AL102">SUMPRODUCT(('Projects Overview'!$B$2:$B$5021="Shaft and Pumps")*('Projects Overview'!$G$2:$G$5021="Firm")*('Projects Overview'!AU$2:AU$5021))</f>
        <v>0</v>
      </c>
      <c r="AM102" s="104" cm="1">
        <f t="array" ref="AM102">SUMPRODUCT(('Projects Overview'!$B$2:$B$5021="Shaft and Pumps")*('Projects Overview'!$G$2:$G$5021="Firm")*('Projects Overview'!AV$2:AV$5021))</f>
        <v>0</v>
      </c>
    </row>
    <row r="103" spans="1:39" x14ac:dyDescent="0.35">
      <c r="A103" s="222"/>
      <c r="B103" s="227"/>
      <c r="C103" s="2" t="s">
        <v>6</v>
      </c>
      <c r="D103" s="104">
        <v>0</v>
      </c>
      <c r="E103" s="104">
        <v>0</v>
      </c>
      <c r="F103" s="104">
        <v>0</v>
      </c>
      <c r="G103" s="104">
        <v>0</v>
      </c>
      <c r="H103" s="104">
        <v>0</v>
      </c>
      <c r="I103" s="104" cm="1">
        <f t="array" ref="I103">SUMPRODUCT(('Projects Overview'!$B$2:$B$5021="Shaft and Pumps")*('Projects Overview'!$G$2:$G$5021="Risk Release")*('Projects Overview'!R$2:R$5021))</f>
        <v>0</v>
      </c>
      <c r="J103" s="104" cm="1">
        <f t="array" ref="J103">SUMPRODUCT(('Projects Overview'!$B$2:$B$5021="Shaft and Pumps")*('Projects Overview'!$G$2:$G$5021="Risk Release")*('Projects Overview'!S$2:S$5021))</f>
        <v>0</v>
      </c>
      <c r="K103" s="104" cm="1">
        <f t="array" ref="K103">SUMPRODUCT(('Projects Overview'!$B$2:$B$5021="Shaft and Pumps")*('Projects Overview'!$G$2:$G$5021="Risk Release")*('Projects Overview'!T$2:T$5021))</f>
        <v>0</v>
      </c>
      <c r="L103" s="104" cm="1">
        <f t="array" ref="L103">SUMPRODUCT(('Projects Overview'!$B$2:$B$5021="Shaft and Pumps")*('Projects Overview'!$G$2:$G$5021="Risk Release")*('Projects Overview'!U$2:U$5021))</f>
        <v>0</v>
      </c>
      <c r="M103" s="104" cm="1">
        <f t="array" ref="M103">SUMPRODUCT(('Projects Overview'!$B$2:$B$5021="Shaft and Pumps")*('Projects Overview'!$G$2:$G$5021="Risk Release")*('Projects Overview'!V$2:V$5021))</f>
        <v>0</v>
      </c>
      <c r="N103" s="104" cm="1">
        <f t="array" ref="N103">SUMPRODUCT(('Projects Overview'!$B$2:$B$5021="Shaft and Pumps")*('Projects Overview'!$G$2:$G$5021="Risk Release")*('Projects Overview'!W$2:W$5021))</f>
        <v>0</v>
      </c>
      <c r="O103" s="104" cm="1">
        <f t="array" ref="O103">SUMPRODUCT(('Projects Overview'!$B$2:$B$5021="Shaft and Pumps")*('Projects Overview'!$G$2:$G$5021="Risk Release")*('Projects Overview'!X$2:X$5021))</f>
        <v>0</v>
      </c>
      <c r="P103" s="104" cm="1">
        <f t="array" ref="P103">SUMPRODUCT(('Projects Overview'!$B$2:$B$5021="Shaft and Pumps")*('Projects Overview'!$G$2:$G$5021="Risk Release")*('Projects Overview'!Y$2:Y$5021))</f>
        <v>0</v>
      </c>
      <c r="Q103" s="104" cm="1">
        <f t="array" ref="Q103">SUMPRODUCT(('Projects Overview'!$B$2:$B$5021="Shaft and Pumps")*('Projects Overview'!$G$2:$G$5021="Risk Release")*('Projects Overview'!Z$2:Z$5021))</f>
        <v>0</v>
      </c>
      <c r="R103" s="104" cm="1">
        <f t="array" ref="R103">SUMPRODUCT(('Projects Overview'!$B$2:$B$5021="Shaft and Pumps")*('Projects Overview'!$G$2:$G$5021="Risk Release")*('Projects Overview'!AA$2:AA$5021))</f>
        <v>0</v>
      </c>
      <c r="S103" s="104" cm="1">
        <f t="array" ref="S103">SUMPRODUCT(('Projects Overview'!$B$2:$B$5021="Shaft and Pumps")*('Projects Overview'!$G$2:$G$5021="Risk Release")*('Projects Overview'!AB$2:AB$5021))</f>
        <v>0</v>
      </c>
      <c r="T103" s="104" cm="1">
        <f t="array" ref="T103">SUMPRODUCT(('Projects Overview'!$B$2:$B$5021="Shaft and Pumps")*('Projects Overview'!$G$2:$G$5021="Risk Release")*('Projects Overview'!AC$2:AC$5021))</f>
        <v>0</v>
      </c>
      <c r="U103" s="104" cm="1">
        <f t="array" ref="U103">SUMPRODUCT(('Projects Overview'!$B$2:$B$5021="Shaft and Pumps")*('Projects Overview'!$G$2:$G$5021="Risk Release")*('Projects Overview'!AD$2:AD$5021))</f>
        <v>0</v>
      </c>
      <c r="V103" s="104" cm="1">
        <f t="array" ref="V103">SUMPRODUCT(('Projects Overview'!$B$2:$B$5021="Shaft and Pumps")*('Projects Overview'!$G$2:$G$5021="Risk Release")*('Projects Overview'!AE$2:AE$5021))</f>
        <v>0</v>
      </c>
      <c r="W103" s="104" cm="1">
        <f t="array" ref="W103">SUMPRODUCT(('Projects Overview'!$B$2:$B$5021="Shaft and Pumps")*('Projects Overview'!$G$2:$G$5021="Risk Release")*('Projects Overview'!AF$2:AF$5021))</f>
        <v>0</v>
      </c>
      <c r="X103" s="104" cm="1">
        <f t="array" ref="X103">SUMPRODUCT(('Projects Overview'!$B$2:$B$5021="Shaft and Pumps")*('Projects Overview'!$G$2:$G$5021="Risk Release")*('Projects Overview'!AG$2:AG$5021))</f>
        <v>0</v>
      </c>
      <c r="Y103" s="104" cm="1">
        <f t="array" ref="Y103">SUMPRODUCT(('Projects Overview'!$B$2:$B$5021="Shaft and Pumps")*('Projects Overview'!$G$2:$G$5021="Risk Release")*('Projects Overview'!AH$2:AH$5021))</f>
        <v>0</v>
      </c>
      <c r="Z103" s="104" cm="1">
        <f t="array" ref="Z103">SUMPRODUCT(('Projects Overview'!$B$2:$B$5021="Shaft and Pumps")*('Projects Overview'!$G$2:$G$5021="Risk Release")*('Projects Overview'!AI$2:AI$5021))</f>
        <v>0</v>
      </c>
      <c r="AA103" s="104" cm="1">
        <f t="array" ref="AA103">SUMPRODUCT(('Projects Overview'!$B$2:$B$5021="Shaft and Pumps")*('Projects Overview'!$G$2:$G$5021="Risk Release")*('Projects Overview'!AJ$2:AJ$5021))</f>
        <v>0</v>
      </c>
      <c r="AB103" s="104" cm="1">
        <f t="array" ref="AB103">SUMPRODUCT(('Projects Overview'!$B$2:$B$5021="Shaft and Pumps")*('Projects Overview'!$G$2:$G$5021="Risk Release")*('Projects Overview'!AK$2:AK$5021))</f>
        <v>0</v>
      </c>
      <c r="AC103" s="104" cm="1">
        <f t="array" ref="AC103">SUMPRODUCT(('Projects Overview'!$B$2:$B$5021="Shaft and Pumps")*('Projects Overview'!$G$2:$G$5021="Risk Release")*('Projects Overview'!AL$2:AL$5021))</f>
        <v>0</v>
      </c>
      <c r="AD103" s="104" cm="1">
        <f t="array" ref="AD103">SUMPRODUCT(('Projects Overview'!$B$2:$B$5021="Shaft and Pumps")*('Projects Overview'!$G$2:$G$5021="Risk Release")*('Projects Overview'!AM$2:AM$5021))</f>
        <v>0</v>
      </c>
      <c r="AE103" s="104" cm="1">
        <f t="array" ref="AE103">SUMPRODUCT(('Projects Overview'!$B$2:$B$5021="Shaft and Pumps")*('Projects Overview'!$G$2:$G$5021="Risk Release")*('Projects Overview'!AN$2:AN$5021))</f>
        <v>0</v>
      </c>
      <c r="AF103" s="104" cm="1">
        <f t="array" ref="AF103">SUMPRODUCT(('Projects Overview'!$B$2:$B$5021="Shaft and Pumps")*('Projects Overview'!$G$2:$G$5021="Risk Release")*('Projects Overview'!AO$2:AO$5021))</f>
        <v>0</v>
      </c>
      <c r="AG103" s="104" cm="1">
        <f t="array" ref="AG103">SUMPRODUCT(('Projects Overview'!$B$2:$B$5021="Shaft and Pumps")*('Projects Overview'!$G$2:$G$5021="Risk Release")*('Projects Overview'!AP$2:AP$5021))</f>
        <v>0</v>
      </c>
      <c r="AH103" s="104" cm="1">
        <f t="array" ref="AH103">SUMPRODUCT(('Projects Overview'!$B$2:$B$5021="Shaft and Pumps")*('Projects Overview'!$G$2:$G$5021="Risk Release")*('Projects Overview'!AQ$2:AQ$5021))</f>
        <v>0</v>
      </c>
      <c r="AI103" s="104" cm="1">
        <f t="array" ref="AI103">SUMPRODUCT(('Projects Overview'!$B$2:$B$5021="Shaft and Pumps")*('Projects Overview'!$G$2:$G$5021="Risk Release")*('Projects Overview'!AR$2:AR$5021))</f>
        <v>0</v>
      </c>
      <c r="AJ103" s="104" cm="1">
        <f t="array" ref="AJ103">SUMPRODUCT(('Projects Overview'!$B$2:$B$5021="Shaft and Pumps")*('Projects Overview'!$G$2:$G$5021="Risk Release")*('Projects Overview'!AS$2:AS$5021))</f>
        <v>0</v>
      </c>
      <c r="AK103" s="104" cm="1">
        <f t="array" ref="AK103">SUMPRODUCT(('Projects Overview'!$B$2:$B$5021="Shaft and Pumps")*('Projects Overview'!$G$2:$G$5021="Risk Release")*('Projects Overview'!AT$2:AT$5021))</f>
        <v>0</v>
      </c>
      <c r="AL103" s="104" cm="1">
        <f t="array" ref="AL103">SUMPRODUCT(('Projects Overview'!$B$2:$B$5021="Shaft and Pumps")*('Projects Overview'!$G$2:$G$5021="Risk Release")*('Projects Overview'!AU$2:AU$5021))</f>
        <v>0</v>
      </c>
      <c r="AM103" s="104" cm="1">
        <f t="array" ref="AM103">SUMPRODUCT(('Projects Overview'!$B$2:$B$5021="Shaft and Pumps")*('Projects Overview'!$G$2:$G$5021="Risk Release")*('Projects Overview'!AV$2:AV$5021))</f>
        <v>0</v>
      </c>
    </row>
    <row r="104" spans="1:39" x14ac:dyDescent="0.35">
      <c r="A104" s="222"/>
      <c r="B104" s="228"/>
      <c r="C104" s="3" t="s">
        <v>8</v>
      </c>
      <c r="D104" s="104">
        <v>0</v>
      </c>
      <c r="E104" s="104">
        <v>0</v>
      </c>
      <c r="F104" s="104">
        <v>0</v>
      </c>
      <c r="G104" s="104">
        <v>0</v>
      </c>
      <c r="H104" s="104">
        <v>0</v>
      </c>
      <c r="I104" s="104" cm="1">
        <f t="array" ref="I104">SUMPRODUCT(('Projects Overview'!$B$2:$B$5021="Shaft and Pumps")*('Projects Overview'!$G$2:$G$5021="Forecast")*('Projects Overview'!R$2:R$5021))</f>
        <v>0</v>
      </c>
      <c r="J104" s="104" cm="1">
        <f t="array" ref="J104">SUMPRODUCT(('Projects Overview'!$B$2:$B$5021="Shaft and Pumps")*('Projects Overview'!$G$2:$G$5021="Forecast")*('Projects Overview'!S$2:S$5021))</f>
        <v>0</v>
      </c>
      <c r="K104" s="104" cm="1">
        <f t="array" ref="K104">SUMPRODUCT(('Projects Overview'!$B$2:$B$5021="Shaft and Pumps")*('Projects Overview'!$G$2:$G$5021="Forecast")*('Projects Overview'!T$2:T$5021))</f>
        <v>0</v>
      </c>
      <c r="L104" s="104" cm="1">
        <f t="array" ref="L104">SUMPRODUCT(('Projects Overview'!$B$2:$B$5021="Shaft and Pumps")*('Projects Overview'!$G$2:$G$5021="Forecast")*('Projects Overview'!U$2:U$5021))</f>
        <v>0</v>
      </c>
      <c r="M104" s="104" cm="1">
        <f t="array" ref="M104">SUMPRODUCT(('Projects Overview'!$B$2:$B$5021="Shaft and Pumps")*('Projects Overview'!$G$2:$G$5021="Forecast")*('Projects Overview'!V$2:V$5021))</f>
        <v>0</v>
      </c>
      <c r="N104" s="104" cm="1">
        <f t="array" ref="N104">SUMPRODUCT(('Projects Overview'!$B$2:$B$5021="Shaft and Pumps")*('Projects Overview'!$G$2:$G$5021="Forecast")*('Projects Overview'!W$2:W$5021))</f>
        <v>0</v>
      </c>
      <c r="O104" s="104" cm="1">
        <f t="array" ref="O104">SUMPRODUCT(('Projects Overview'!$B$2:$B$5021="Shaft and Pumps")*('Projects Overview'!$G$2:$G$5021="Forecast")*('Projects Overview'!X$2:X$5021))</f>
        <v>0</v>
      </c>
      <c r="P104" s="104" cm="1">
        <f t="array" ref="P104">SUMPRODUCT(('Projects Overview'!$B$2:$B$5021="Shaft and Pumps")*('Projects Overview'!$G$2:$G$5021="Forecast")*('Projects Overview'!Y$2:Y$5021))</f>
        <v>0</v>
      </c>
      <c r="Q104" s="104" cm="1">
        <f t="array" ref="Q104">SUMPRODUCT(('Projects Overview'!$B$2:$B$5021="Shaft and Pumps")*('Projects Overview'!$G$2:$G$5021="Forecast")*('Projects Overview'!Z$2:Z$5021))</f>
        <v>0</v>
      </c>
      <c r="R104" s="104" cm="1">
        <f t="array" ref="R104">SUMPRODUCT(('Projects Overview'!$B$2:$B$5021="Shaft and Pumps")*('Projects Overview'!$G$2:$G$5021="Forecast")*('Projects Overview'!AA$2:AA$5021))</f>
        <v>0</v>
      </c>
      <c r="S104" s="104" cm="1">
        <f t="array" ref="S104">SUMPRODUCT(('Projects Overview'!$B$2:$B$5021="Shaft and Pumps")*('Projects Overview'!$G$2:$G$5021="Forecast")*('Projects Overview'!AB$2:AB$5021))</f>
        <v>0</v>
      </c>
      <c r="T104" s="104" cm="1">
        <f t="array" ref="T104">SUMPRODUCT(('Projects Overview'!$B$2:$B$5021="Shaft and Pumps")*('Projects Overview'!$G$2:$G$5021="Forecast")*('Projects Overview'!AC$2:AC$5021))</f>
        <v>0</v>
      </c>
      <c r="U104" s="104" cm="1">
        <f t="array" ref="U104">SUMPRODUCT(('Projects Overview'!$B$2:$B$5021="Shaft and Pumps")*('Projects Overview'!$G$2:$G$5021="Forecast")*('Projects Overview'!AD$2:AD$5021))</f>
        <v>0</v>
      </c>
      <c r="V104" s="104" cm="1">
        <f t="array" ref="V104">SUMPRODUCT(('Projects Overview'!$B$2:$B$5021="Shaft and Pumps")*('Projects Overview'!$G$2:$G$5021="Forecast")*('Projects Overview'!AE$2:AE$5021))</f>
        <v>0</v>
      </c>
      <c r="W104" s="104" cm="1">
        <f t="array" ref="W104">SUMPRODUCT(('Projects Overview'!$B$2:$B$5021="Shaft and Pumps")*('Projects Overview'!$G$2:$G$5021="Forecast")*('Projects Overview'!AF$2:AF$5021))</f>
        <v>0</v>
      </c>
      <c r="X104" s="104" cm="1">
        <f t="array" ref="X104">SUMPRODUCT(('Projects Overview'!$B$2:$B$5021="Shaft and Pumps")*('Projects Overview'!$G$2:$G$5021="Forecast")*('Projects Overview'!AG$2:AG$5021))</f>
        <v>0</v>
      </c>
      <c r="Y104" s="104" cm="1">
        <f t="array" ref="Y104">SUMPRODUCT(('Projects Overview'!$B$2:$B$5021="Shaft and Pumps")*('Projects Overview'!$G$2:$G$5021="Forecast")*('Projects Overview'!AH$2:AH$5021))</f>
        <v>0</v>
      </c>
      <c r="Z104" s="104" cm="1">
        <f t="array" ref="Z104">SUMPRODUCT(('Projects Overview'!$B$2:$B$5021="Shaft and Pumps")*('Projects Overview'!$G$2:$G$5021="Forecast")*('Projects Overview'!AI$2:AI$5021))</f>
        <v>0</v>
      </c>
      <c r="AA104" s="104" cm="1">
        <f t="array" ref="AA104">SUMPRODUCT(('Projects Overview'!$B$2:$B$5021="Shaft and Pumps")*('Projects Overview'!$G$2:$G$5021="Forecast")*('Projects Overview'!AJ$2:AJ$5021))</f>
        <v>0</v>
      </c>
      <c r="AB104" s="104" cm="1">
        <f t="array" ref="AB104">SUMPRODUCT(('Projects Overview'!$B$2:$B$5021="Shaft and Pumps")*('Projects Overview'!$G$2:$G$5021="Forecast")*('Projects Overview'!AK$2:AK$5021))</f>
        <v>0</v>
      </c>
      <c r="AC104" s="104" cm="1">
        <f t="array" ref="AC104">SUMPRODUCT(('Projects Overview'!$B$2:$B$5021="Shaft and Pumps")*('Projects Overview'!$G$2:$G$5021="Forecast")*('Projects Overview'!AL$2:AL$5021))</f>
        <v>0</v>
      </c>
      <c r="AD104" s="104" cm="1">
        <f t="array" ref="AD104">SUMPRODUCT(('Projects Overview'!$B$2:$B$5021="Shaft and Pumps")*('Projects Overview'!$G$2:$G$5021="Forecast")*('Projects Overview'!AM$2:AM$5021))</f>
        <v>0</v>
      </c>
      <c r="AE104" s="104" cm="1">
        <f t="array" ref="AE104">SUMPRODUCT(('Projects Overview'!$B$2:$B$5021="Shaft and Pumps")*('Projects Overview'!$G$2:$G$5021="Forecast")*('Projects Overview'!AN$2:AN$5021))</f>
        <v>0</v>
      </c>
      <c r="AF104" s="104" cm="1">
        <f t="array" ref="AF104">SUMPRODUCT(('Projects Overview'!$B$2:$B$5021="Shaft and Pumps")*('Projects Overview'!$G$2:$G$5021="Forecast")*('Projects Overview'!AO$2:AO$5021))</f>
        <v>0</v>
      </c>
      <c r="AG104" s="104" cm="1">
        <f t="array" ref="AG104">SUMPRODUCT(('Projects Overview'!$B$2:$B$5021="Shaft and Pumps")*('Projects Overview'!$G$2:$G$5021="Forecast")*('Projects Overview'!AP$2:AP$5021))</f>
        <v>0</v>
      </c>
      <c r="AH104" s="104" cm="1">
        <f t="array" ref="AH104">SUMPRODUCT(('Projects Overview'!$B$2:$B$5021="Shaft and Pumps")*('Projects Overview'!$G$2:$G$5021="Forecast")*('Projects Overview'!AQ$2:AQ$5021))</f>
        <v>0</v>
      </c>
      <c r="AI104" s="104" cm="1">
        <f t="array" ref="AI104">SUMPRODUCT(('Projects Overview'!$B$2:$B$5021="Shaft and Pumps")*('Projects Overview'!$G$2:$G$5021="Forecast")*('Projects Overview'!AR$2:AR$5021))</f>
        <v>0</v>
      </c>
      <c r="AJ104" s="104" cm="1">
        <f t="array" ref="AJ104">SUMPRODUCT(('Projects Overview'!$B$2:$B$5021="Shaft and Pumps")*('Projects Overview'!$G$2:$G$5021="Forecast")*('Projects Overview'!AS$2:AS$5021))</f>
        <v>0</v>
      </c>
      <c r="AK104" s="104" cm="1">
        <f t="array" ref="AK104">SUMPRODUCT(('Projects Overview'!$B$2:$B$5021="Shaft and Pumps")*('Projects Overview'!$G$2:$G$5021="Forecast")*('Projects Overview'!AT$2:AT$5021))</f>
        <v>0</v>
      </c>
      <c r="AL104" s="104" cm="1">
        <f t="array" ref="AL104">SUMPRODUCT(('Projects Overview'!$B$2:$B$5021="Shaft and Pumps")*('Projects Overview'!$G$2:$G$5021="Forecast")*('Projects Overview'!AU$2:AU$5021))</f>
        <v>0</v>
      </c>
      <c r="AM104" s="104" cm="1">
        <f t="array" ref="AM104">SUMPRODUCT(('Projects Overview'!$B$2:$B$5021="Shaft and Pumps")*('Projects Overview'!$G$2:$G$5021="Forecast")*('Projects Overview'!AV$2:AV$5021))</f>
        <v>0</v>
      </c>
    </row>
    <row r="105" spans="1:39" ht="14.5" customHeight="1" x14ac:dyDescent="0.35">
      <c r="A105" s="222"/>
      <c r="B105" s="230" t="s">
        <v>395</v>
      </c>
      <c r="C105" s="4" t="s">
        <v>4</v>
      </c>
      <c r="D105" s="104">
        <v>0</v>
      </c>
      <c r="E105" s="104">
        <v>0</v>
      </c>
      <c r="F105" s="104">
        <v>220</v>
      </c>
      <c r="G105" s="104">
        <v>220</v>
      </c>
      <c r="H105" s="104">
        <v>0</v>
      </c>
      <c r="I105" s="104" cm="1">
        <f t="array" ref="I105">SUMPRODUCT(('Projects Overview'!$B$2:$B$5021="Torque Wrenches")*('Projects Overview'!$G$2:$G$5021="Firm")*('Projects Overview'!R$2:R$5021))</f>
        <v>0</v>
      </c>
      <c r="J105" s="104" cm="1">
        <f t="array" ref="J105">SUMPRODUCT(('Projects Overview'!$B$2:$B$5021="Torque Wrenches")*('Projects Overview'!$G$2:$G$5021="Firm")*('Projects Overview'!S$2:S$5021))</f>
        <v>0</v>
      </c>
      <c r="K105" s="104" cm="1">
        <f t="array" ref="K105">SUMPRODUCT(('Projects Overview'!$B$2:$B$5021="Torque Wrenches")*('Projects Overview'!$G$2:$G$5021="Firm")*('Projects Overview'!T$2:T$5021))</f>
        <v>0</v>
      </c>
      <c r="L105" s="104" cm="1">
        <f t="array" ref="L105">SUMPRODUCT(('Projects Overview'!$B$2:$B$5021="Torque Wrenches")*('Projects Overview'!$G$2:$G$5021="Firm")*('Projects Overview'!U$2:U$5021))</f>
        <v>0</v>
      </c>
      <c r="M105" s="104" cm="1">
        <f t="array" ref="M105">SUMPRODUCT(('Projects Overview'!$B$2:$B$5021="Torque Wrenches")*('Projects Overview'!$G$2:$G$5021="Firm")*('Projects Overview'!V$2:V$5021))</f>
        <v>0</v>
      </c>
      <c r="N105" s="104" cm="1">
        <f t="array" ref="N105">SUMPRODUCT(('Projects Overview'!$B$2:$B$5021="Torque Wrenches")*('Projects Overview'!$G$2:$G$5021="Firm")*('Projects Overview'!W$2:W$5021))</f>
        <v>0</v>
      </c>
      <c r="O105" s="104" cm="1">
        <f t="array" ref="O105">SUMPRODUCT(('Projects Overview'!$B$2:$B$5021="Torque Wrenches")*('Projects Overview'!$G$2:$G$5021="Firm")*('Projects Overview'!X$2:X$5021))</f>
        <v>0</v>
      </c>
      <c r="P105" s="104" cm="1">
        <f t="array" ref="P105">SUMPRODUCT(('Projects Overview'!$B$2:$B$5021="Torque Wrenches")*('Projects Overview'!$G$2:$G$5021="Firm")*('Projects Overview'!Y$2:Y$5021))</f>
        <v>0</v>
      </c>
      <c r="Q105" s="104" cm="1">
        <f t="array" ref="Q105">SUMPRODUCT(('Projects Overview'!$B$2:$B$5021="Torque Wrenches")*('Projects Overview'!$G$2:$G$5021="Firm")*('Projects Overview'!Z$2:Z$5021))</f>
        <v>0</v>
      </c>
      <c r="R105" s="104" cm="1">
        <f t="array" ref="R105">SUMPRODUCT(('Projects Overview'!$B$2:$B$5021="Torque Wrenches")*('Projects Overview'!$G$2:$G$5021="Firm")*('Projects Overview'!AA$2:AA$5021))</f>
        <v>0</v>
      </c>
      <c r="S105" s="104" cm="1">
        <f t="array" ref="S105">SUMPRODUCT(('Projects Overview'!$B$2:$B$5021="Torque Wrenches")*('Projects Overview'!$G$2:$G$5021="Firm")*('Projects Overview'!AB$2:AB$5021))</f>
        <v>0</v>
      </c>
      <c r="T105" s="104" cm="1">
        <f t="array" ref="T105">SUMPRODUCT(('Projects Overview'!$B$2:$B$5021="Torque Wrenches")*('Projects Overview'!$G$2:$G$5021="Firm")*('Projects Overview'!AC$2:AC$5021))</f>
        <v>0</v>
      </c>
      <c r="U105" s="104" cm="1">
        <f t="array" ref="U105">SUMPRODUCT(('Projects Overview'!$B$2:$B$5021="Torque Wrenches")*('Projects Overview'!$G$2:$G$5021="Firm")*('Projects Overview'!AD$2:AD$5021))</f>
        <v>0</v>
      </c>
      <c r="V105" s="104" cm="1">
        <f t="array" ref="V105">SUMPRODUCT(('Projects Overview'!$B$2:$B$5021="Torque Wrenches")*('Projects Overview'!$G$2:$G$5021="Firm")*('Projects Overview'!AE$2:AE$5021))</f>
        <v>0</v>
      </c>
      <c r="W105" s="104" cm="1">
        <f t="array" ref="W105">SUMPRODUCT(('Projects Overview'!$B$2:$B$5021="Torque Wrenches")*('Projects Overview'!$G$2:$G$5021="Firm")*('Projects Overview'!AF$2:AF$5021))</f>
        <v>0</v>
      </c>
      <c r="X105" s="104" cm="1">
        <f t="array" ref="X105">SUMPRODUCT(('Projects Overview'!$B$2:$B$5021="Torque Wrenches")*('Projects Overview'!$G$2:$G$5021="Firm")*('Projects Overview'!AG$2:AG$5021))</f>
        <v>0</v>
      </c>
      <c r="Y105" s="104" cm="1">
        <f t="array" ref="Y105">SUMPRODUCT(('Projects Overview'!$B$2:$B$5021="Torque Wrenches")*('Projects Overview'!$G$2:$G$5021="Firm")*('Projects Overview'!AH$2:AH$5021))</f>
        <v>0</v>
      </c>
      <c r="Z105" s="104" cm="1">
        <f t="array" ref="Z105">SUMPRODUCT(('Projects Overview'!$B$2:$B$5021="Torque Wrenches")*('Projects Overview'!$G$2:$G$5021="Firm")*('Projects Overview'!AI$2:AI$5021))</f>
        <v>0</v>
      </c>
      <c r="AA105" s="104" cm="1">
        <f t="array" ref="AA105">SUMPRODUCT(('Projects Overview'!$B$2:$B$5021="Torque Wrenches")*('Projects Overview'!$G$2:$G$5021="Firm")*('Projects Overview'!AJ$2:AJ$5021))</f>
        <v>0</v>
      </c>
      <c r="AB105" s="104" cm="1">
        <f t="array" ref="AB105">SUMPRODUCT(('Projects Overview'!$B$2:$B$5021="Torque Wrenches")*('Projects Overview'!$G$2:$G$5021="Firm")*('Projects Overview'!AK$2:AK$5021))</f>
        <v>0</v>
      </c>
      <c r="AC105" s="104" cm="1">
        <f t="array" ref="AC105">SUMPRODUCT(('Projects Overview'!$B$2:$B$5021="Torque Wrenches")*('Projects Overview'!$G$2:$G$5021="Firm")*('Projects Overview'!AL$2:AL$5021))</f>
        <v>0</v>
      </c>
      <c r="AD105" s="104" cm="1">
        <f t="array" ref="AD105">SUMPRODUCT(('Projects Overview'!$B$2:$B$5021="Torque Wrenches")*('Projects Overview'!$G$2:$G$5021="Firm")*('Projects Overview'!AM$2:AM$5021))</f>
        <v>0</v>
      </c>
      <c r="AE105" s="104" cm="1">
        <f t="array" ref="AE105">SUMPRODUCT(('Projects Overview'!$B$2:$B$5021="Torque Wrenches")*('Projects Overview'!$G$2:$G$5021="Firm")*('Projects Overview'!AN$2:AN$5021))</f>
        <v>0</v>
      </c>
      <c r="AF105" s="104" cm="1">
        <f t="array" ref="AF105">SUMPRODUCT(('Projects Overview'!$B$2:$B$5021="Torque Wrenches")*('Projects Overview'!$G$2:$G$5021="Firm")*('Projects Overview'!AO$2:AO$5021))</f>
        <v>0</v>
      </c>
      <c r="AG105" s="104" cm="1">
        <f t="array" ref="AG105">SUMPRODUCT(('Projects Overview'!$B$2:$B$5021="Torque Wrenches")*('Projects Overview'!$G$2:$G$5021="Firm")*('Projects Overview'!AP$2:AP$5021))</f>
        <v>0</v>
      </c>
      <c r="AH105" s="104" cm="1">
        <f t="array" ref="AH105">SUMPRODUCT(('Projects Overview'!$B$2:$B$5021="Torque Wrenches")*('Projects Overview'!$G$2:$G$5021="Firm")*('Projects Overview'!AQ$2:AQ$5021))</f>
        <v>0</v>
      </c>
      <c r="AI105" s="104" cm="1">
        <f t="array" ref="AI105">SUMPRODUCT(('Projects Overview'!$B$2:$B$5021="Torque Wrenches")*('Projects Overview'!$G$2:$G$5021="Firm")*('Projects Overview'!AR$2:AR$5021))</f>
        <v>0</v>
      </c>
      <c r="AJ105" s="104" cm="1">
        <f t="array" ref="AJ105">SUMPRODUCT(('Projects Overview'!$B$2:$B$5021="Torque Wrenches")*('Projects Overview'!$G$2:$G$5021="Firm")*('Projects Overview'!AS$2:AS$5021))</f>
        <v>0</v>
      </c>
      <c r="AK105" s="104" cm="1">
        <f t="array" ref="AK105">SUMPRODUCT(('Projects Overview'!$B$2:$B$5021="Torque Wrenches")*('Projects Overview'!$G$2:$G$5021="Firm")*('Projects Overview'!AT$2:AT$5021))</f>
        <v>0</v>
      </c>
      <c r="AL105" s="104" cm="1">
        <f t="array" ref="AL105">SUMPRODUCT(('Projects Overview'!$B$2:$B$5021="Torque Wrenches")*('Projects Overview'!$G$2:$G$5021="Firm")*('Projects Overview'!AU$2:AU$5021))</f>
        <v>0</v>
      </c>
      <c r="AM105" s="104" cm="1">
        <f t="array" ref="AM105">SUMPRODUCT(('Projects Overview'!$B$2:$B$5021="Torque Wrenches")*('Projects Overview'!$G$2:$G$5021="Firm")*('Projects Overview'!AV$2:AV$5021))</f>
        <v>0</v>
      </c>
    </row>
    <row r="106" spans="1:39" ht="14.5" customHeight="1" x14ac:dyDescent="0.35">
      <c r="A106" s="222"/>
      <c r="B106" s="230"/>
      <c r="C106" s="2" t="s">
        <v>6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 cm="1">
        <f t="array" ref="I106">SUMPRODUCT(('Projects Overview'!$B$2:$B$5021="Torque Wrenches")*('Projects Overview'!$G$2:$G$5021="Risk Release")*('Projects Overview'!R$2:R$5021))</f>
        <v>0</v>
      </c>
      <c r="J106" s="104" cm="1">
        <f t="array" ref="J106">SUMPRODUCT(('Projects Overview'!$B$2:$B$5021="Torque Wrenches")*('Projects Overview'!$G$2:$G$5021="Risk Release")*('Projects Overview'!S$2:S$5021))</f>
        <v>0</v>
      </c>
      <c r="K106" s="104" cm="1">
        <f t="array" ref="K106">SUMPRODUCT(('Projects Overview'!$B$2:$B$5021="Torque Wrenches")*('Projects Overview'!$G$2:$G$5021="Risk Release")*('Projects Overview'!T$2:T$5021))</f>
        <v>0</v>
      </c>
      <c r="L106" s="104" cm="1">
        <f t="array" ref="L106">SUMPRODUCT(('Projects Overview'!$B$2:$B$5021="Torque Wrenches")*('Projects Overview'!$G$2:$G$5021="Risk Release")*('Projects Overview'!U$2:U$5021))</f>
        <v>0</v>
      </c>
      <c r="M106" s="104" cm="1">
        <f t="array" ref="M106">SUMPRODUCT(('Projects Overview'!$B$2:$B$5021="Torque Wrenches")*('Projects Overview'!$G$2:$G$5021="Risk Release")*('Projects Overview'!V$2:V$5021))</f>
        <v>0</v>
      </c>
      <c r="N106" s="104" cm="1">
        <f t="array" ref="N106">SUMPRODUCT(('Projects Overview'!$B$2:$B$5021="Torque Wrenches")*('Projects Overview'!$G$2:$G$5021="Risk Release")*('Projects Overview'!W$2:W$5021))</f>
        <v>0</v>
      </c>
      <c r="O106" s="104" cm="1">
        <f t="array" ref="O106">SUMPRODUCT(('Projects Overview'!$B$2:$B$5021="Torque Wrenches")*('Projects Overview'!$G$2:$G$5021="Risk Release")*('Projects Overview'!X$2:X$5021))</f>
        <v>0</v>
      </c>
      <c r="P106" s="104" cm="1">
        <f t="array" ref="P106">SUMPRODUCT(('Projects Overview'!$B$2:$B$5021="Torque Wrenches")*('Projects Overview'!$G$2:$G$5021="Risk Release")*('Projects Overview'!Y$2:Y$5021))</f>
        <v>0</v>
      </c>
      <c r="Q106" s="104" cm="1">
        <f t="array" ref="Q106">SUMPRODUCT(('Projects Overview'!$B$2:$B$5021="Torque Wrenches")*('Projects Overview'!$G$2:$G$5021="Risk Release")*('Projects Overview'!Z$2:Z$5021))</f>
        <v>0</v>
      </c>
      <c r="R106" s="104" cm="1">
        <f t="array" ref="R106">SUMPRODUCT(('Projects Overview'!$B$2:$B$5021="Torque Wrenches")*('Projects Overview'!$G$2:$G$5021="Risk Release")*('Projects Overview'!AA$2:AA$5021))</f>
        <v>0</v>
      </c>
      <c r="S106" s="104" cm="1">
        <f t="array" ref="S106">SUMPRODUCT(('Projects Overview'!$B$2:$B$5021="Torque Wrenches")*('Projects Overview'!$G$2:$G$5021="Risk Release")*('Projects Overview'!AB$2:AB$5021))</f>
        <v>0</v>
      </c>
      <c r="T106" s="104" cm="1">
        <f t="array" ref="T106">SUMPRODUCT(('Projects Overview'!$B$2:$B$5021="Torque Wrenches")*('Projects Overview'!$G$2:$G$5021="Risk Release")*('Projects Overview'!AC$2:AC$5021))</f>
        <v>0</v>
      </c>
      <c r="U106" s="104" cm="1">
        <f t="array" ref="U106">SUMPRODUCT(('Projects Overview'!$B$2:$B$5021="Torque Wrenches")*('Projects Overview'!$G$2:$G$5021="Risk Release")*('Projects Overview'!AD$2:AD$5021))</f>
        <v>0</v>
      </c>
      <c r="V106" s="104" cm="1">
        <f t="array" ref="V106">SUMPRODUCT(('Projects Overview'!$B$2:$B$5021="Torque Wrenches")*('Projects Overview'!$G$2:$G$5021="Risk Release")*('Projects Overview'!AE$2:AE$5021))</f>
        <v>0</v>
      </c>
      <c r="W106" s="104" cm="1">
        <f t="array" ref="W106">SUMPRODUCT(('Projects Overview'!$B$2:$B$5021="Torque Wrenches")*('Projects Overview'!$G$2:$G$5021="Risk Release")*('Projects Overview'!AF$2:AF$5021))</f>
        <v>0</v>
      </c>
      <c r="X106" s="104" cm="1">
        <f t="array" ref="X106">SUMPRODUCT(('Projects Overview'!$B$2:$B$5021="Torque Wrenches")*('Projects Overview'!$G$2:$G$5021="Risk Release")*('Projects Overview'!AG$2:AG$5021))</f>
        <v>0</v>
      </c>
      <c r="Y106" s="104" cm="1">
        <f t="array" ref="Y106">SUMPRODUCT(('Projects Overview'!$B$2:$B$5021="Torque Wrenches")*('Projects Overview'!$G$2:$G$5021="Risk Release")*('Projects Overview'!AH$2:AH$5021))</f>
        <v>0</v>
      </c>
      <c r="Z106" s="104" cm="1">
        <f t="array" ref="Z106">SUMPRODUCT(('Projects Overview'!$B$2:$B$5021="Torque Wrenches")*('Projects Overview'!$G$2:$G$5021="Risk Release")*('Projects Overview'!AI$2:AI$5021))</f>
        <v>0</v>
      </c>
      <c r="AA106" s="104" cm="1">
        <f t="array" ref="AA106">SUMPRODUCT(('Projects Overview'!$B$2:$B$5021="Torque Wrenches")*('Projects Overview'!$G$2:$G$5021="Risk Release")*('Projects Overview'!AJ$2:AJ$5021))</f>
        <v>0</v>
      </c>
      <c r="AB106" s="104" cm="1">
        <f t="array" ref="AB106">SUMPRODUCT(('Projects Overview'!$B$2:$B$5021="Torque Wrenches")*('Projects Overview'!$G$2:$G$5021="Risk Release")*('Projects Overview'!AK$2:AK$5021))</f>
        <v>0</v>
      </c>
      <c r="AC106" s="104" cm="1">
        <f t="array" ref="AC106">SUMPRODUCT(('Projects Overview'!$B$2:$B$5021="Torque Wrenches")*('Projects Overview'!$G$2:$G$5021="Risk Release")*('Projects Overview'!AL$2:AL$5021))</f>
        <v>0</v>
      </c>
      <c r="AD106" s="104" cm="1">
        <f t="array" ref="AD106">SUMPRODUCT(('Projects Overview'!$B$2:$B$5021="Torque Wrenches")*('Projects Overview'!$G$2:$G$5021="Risk Release")*('Projects Overview'!AM$2:AM$5021))</f>
        <v>0</v>
      </c>
      <c r="AE106" s="104" cm="1">
        <f t="array" ref="AE106">SUMPRODUCT(('Projects Overview'!$B$2:$B$5021="Torque Wrenches")*('Projects Overview'!$G$2:$G$5021="Risk Release")*('Projects Overview'!AN$2:AN$5021))</f>
        <v>0</v>
      </c>
      <c r="AF106" s="104" cm="1">
        <f t="array" ref="AF106">SUMPRODUCT(('Projects Overview'!$B$2:$B$5021="Torque Wrenches")*('Projects Overview'!$G$2:$G$5021="Risk Release")*('Projects Overview'!AO$2:AO$5021))</f>
        <v>0</v>
      </c>
      <c r="AG106" s="104" cm="1">
        <f t="array" ref="AG106">SUMPRODUCT(('Projects Overview'!$B$2:$B$5021="Torque Wrenches")*('Projects Overview'!$G$2:$G$5021="Risk Release")*('Projects Overview'!AP$2:AP$5021))</f>
        <v>0</v>
      </c>
      <c r="AH106" s="104" cm="1">
        <f t="array" ref="AH106">SUMPRODUCT(('Projects Overview'!$B$2:$B$5021="Torque Wrenches")*('Projects Overview'!$G$2:$G$5021="Risk Release")*('Projects Overview'!AQ$2:AQ$5021))</f>
        <v>0</v>
      </c>
      <c r="AI106" s="104" cm="1">
        <f t="array" ref="AI106">SUMPRODUCT(('Projects Overview'!$B$2:$B$5021="Torque Wrenches")*('Projects Overview'!$G$2:$G$5021="Risk Release")*('Projects Overview'!AR$2:AR$5021))</f>
        <v>0</v>
      </c>
      <c r="AJ106" s="104" cm="1">
        <f t="array" ref="AJ106">SUMPRODUCT(('Projects Overview'!$B$2:$B$5021="Torque Wrenches")*('Projects Overview'!$G$2:$G$5021="Risk Release")*('Projects Overview'!AS$2:AS$5021))</f>
        <v>0</v>
      </c>
      <c r="AK106" s="104" cm="1">
        <f t="array" ref="AK106">SUMPRODUCT(('Projects Overview'!$B$2:$B$5021="Torque Wrenches")*('Projects Overview'!$G$2:$G$5021="Risk Release")*('Projects Overview'!AT$2:AT$5021))</f>
        <v>0</v>
      </c>
      <c r="AL106" s="104" cm="1">
        <f t="array" ref="AL106">SUMPRODUCT(('Projects Overview'!$B$2:$B$5021="Torque Wrenches")*('Projects Overview'!$G$2:$G$5021="Risk Release")*('Projects Overview'!AU$2:AU$5021))</f>
        <v>0</v>
      </c>
      <c r="AM106" s="104" cm="1">
        <f t="array" ref="AM106">SUMPRODUCT(('Projects Overview'!$B$2:$B$5021="Torque Wrenches")*('Projects Overview'!$G$2:$G$5021="Risk Release")*('Projects Overview'!AV$2:AV$5021))</f>
        <v>0</v>
      </c>
    </row>
    <row r="107" spans="1:39" ht="14.5" customHeight="1" x14ac:dyDescent="0.35">
      <c r="A107" s="222"/>
      <c r="B107" s="231"/>
      <c r="C107" s="3" t="s">
        <v>8</v>
      </c>
      <c r="D107" s="104">
        <v>0</v>
      </c>
      <c r="E107" s="104">
        <v>0</v>
      </c>
      <c r="F107" s="104">
        <v>0</v>
      </c>
      <c r="G107" s="104">
        <v>0</v>
      </c>
      <c r="H107" s="104">
        <v>0</v>
      </c>
      <c r="I107" s="104" cm="1">
        <f t="array" ref="I107">SUMPRODUCT(('Projects Overview'!$B$2:$B$5021="Torque Wrenches")*('Projects Overview'!$G$2:$G$5021="Forecast")*('Projects Overview'!R$2:R$5021))</f>
        <v>0</v>
      </c>
      <c r="J107" s="104" cm="1">
        <f t="array" ref="J107">SUMPRODUCT(('Projects Overview'!$B$2:$B$5021="Torque Wrenches")*('Projects Overview'!$G$2:$G$5021="Forecast")*('Projects Overview'!S$2:S$5021))</f>
        <v>0</v>
      </c>
      <c r="K107" s="104" cm="1">
        <f t="array" ref="K107">SUMPRODUCT(('Projects Overview'!$B$2:$B$5021="Torque Wrenches")*('Projects Overview'!$G$2:$G$5021="Forecast")*('Projects Overview'!T$2:T$5021))</f>
        <v>0</v>
      </c>
      <c r="L107" s="104" cm="1">
        <f t="array" ref="L107">SUMPRODUCT(('Projects Overview'!$B$2:$B$5021="Torque Wrenches")*('Projects Overview'!$G$2:$G$5021="Forecast")*('Projects Overview'!U$2:U$5021))</f>
        <v>0</v>
      </c>
      <c r="M107" s="104" cm="1">
        <f t="array" ref="M107">SUMPRODUCT(('Projects Overview'!$B$2:$B$5021="Torque Wrenches")*('Projects Overview'!$G$2:$G$5021="Forecast")*('Projects Overview'!V$2:V$5021))</f>
        <v>0</v>
      </c>
      <c r="N107" s="104" cm="1">
        <f t="array" ref="N107">SUMPRODUCT(('Projects Overview'!$B$2:$B$5021="Torque Wrenches")*('Projects Overview'!$G$2:$G$5021="Forecast")*('Projects Overview'!W$2:W$5021))</f>
        <v>0</v>
      </c>
      <c r="O107" s="104" cm="1">
        <f t="array" ref="O107">SUMPRODUCT(('Projects Overview'!$B$2:$B$5021="Torque Wrenches")*('Projects Overview'!$G$2:$G$5021="Forecast")*('Projects Overview'!X$2:X$5021))</f>
        <v>0</v>
      </c>
      <c r="P107" s="104" cm="1">
        <f t="array" ref="P107">SUMPRODUCT(('Projects Overview'!$B$2:$B$5021="Torque Wrenches")*('Projects Overview'!$G$2:$G$5021="Forecast")*('Projects Overview'!Y$2:Y$5021))</f>
        <v>0</v>
      </c>
      <c r="Q107" s="104" cm="1">
        <f t="array" ref="Q107">SUMPRODUCT(('Projects Overview'!$B$2:$B$5021="Torque Wrenches")*('Projects Overview'!$G$2:$G$5021="Forecast")*('Projects Overview'!Z$2:Z$5021))</f>
        <v>0</v>
      </c>
      <c r="R107" s="104" cm="1">
        <f t="array" ref="R107">SUMPRODUCT(('Projects Overview'!$B$2:$B$5021="Torque Wrenches")*('Projects Overview'!$G$2:$G$5021="Forecast")*('Projects Overview'!AA$2:AA$5021))</f>
        <v>175</v>
      </c>
      <c r="S107" s="104" cm="1">
        <f t="array" ref="S107">SUMPRODUCT(('Projects Overview'!$B$2:$B$5021="Torque Wrenches")*('Projects Overview'!$G$2:$G$5021="Forecast")*('Projects Overview'!AB$2:AB$5021))</f>
        <v>175</v>
      </c>
      <c r="T107" s="104" cm="1">
        <f t="array" ref="T107">SUMPRODUCT(('Projects Overview'!$B$2:$B$5021="Torque Wrenches")*('Projects Overview'!$G$2:$G$5021="Forecast")*('Projects Overview'!AC$2:AC$5021))</f>
        <v>0</v>
      </c>
      <c r="U107" s="104" cm="1">
        <f t="array" ref="U107">SUMPRODUCT(('Projects Overview'!$B$2:$B$5021="Torque Wrenches")*('Projects Overview'!$G$2:$G$5021="Forecast")*('Projects Overview'!AD$2:AD$5021))</f>
        <v>0</v>
      </c>
      <c r="V107" s="104" cm="1">
        <f t="array" ref="V107">SUMPRODUCT(('Projects Overview'!$B$2:$B$5021="Torque Wrenches")*('Projects Overview'!$G$2:$G$5021="Forecast")*('Projects Overview'!AE$2:AE$5021))</f>
        <v>0</v>
      </c>
      <c r="W107" s="104" cm="1">
        <f t="array" ref="W107">SUMPRODUCT(('Projects Overview'!$B$2:$B$5021="Torque Wrenches")*('Projects Overview'!$G$2:$G$5021="Forecast")*('Projects Overview'!AF$2:AF$5021))</f>
        <v>0</v>
      </c>
      <c r="X107" s="104" cm="1">
        <f t="array" ref="X107">SUMPRODUCT(('Projects Overview'!$B$2:$B$5021="Torque Wrenches")*('Projects Overview'!$G$2:$G$5021="Forecast")*('Projects Overview'!AG$2:AG$5021))</f>
        <v>0</v>
      </c>
      <c r="Y107" s="104" cm="1">
        <f t="array" ref="Y107">SUMPRODUCT(('Projects Overview'!$B$2:$B$5021="Torque Wrenches")*('Projects Overview'!$G$2:$G$5021="Forecast")*('Projects Overview'!AH$2:AH$5021))</f>
        <v>0</v>
      </c>
      <c r="Z107" s="104" cm="1">
        <f t="array" ref="Z107">SUMPRODUCT(('Projects Overview'!$B$2:$B$5021="Torque Wrenches")*('Projects Overview'!$G$2:$G$5021="Forecast")*('Projects Overview'!AI$2:AI$5021))</f>
        <v>0</v>
      </c>
      <c r="AA107" s="104" cm="1">
        <f t="array" ref="AA107">SUMPRODUCT(('Projects Overview'!$B$2:$B$5021="Torque Wrenches")*('Projects Overview'!$G$2:$G$5021="Forecast")*('Projects Overview'!AJ$2:AJ$5021))</f>
        <v>0</v>
      </c>
      <c r="AB107" s="104" cm="1">
        <f t="array" ref="AB107">SUMPRODUCT(('Projects Overview'!$B$2:$B$5021="Torque Wrenches")*('Projects Overview'!$G$2:$G$5021="Forecast")*('Projects Overview'!AK$2:AK$5021))</f>
        <v>0</v>
      </c>
      <c r="AC107" s="104" cm="1">
        <f t="array" ref="AC107">SUMPRODUCT(('Projects Overview'!$B$2:$B$5021="Torque Wrenches")*('Projects Overview'!$G$2:$G$5021="Forecast")*('Projects Overview'!AL$2:AL$5021))</f>
        <v>0</v>
      </c>
      <c r="AD107" s="104" cm="1">
        <f t="array" ref="AD107">SUMPRODUCT(('Projects Overview'!$B$2:$B$5021="Torque Wrenches")*('Projects Overview'!$G$2:$G$5021="Forecast")*('Projects Overview'!AM$2:AM$5021))</f>
        <v>0</v>
      </c>
      <c r="AE107" s="104" cm="1">
        <f t="array" ref="AE107">SUMPRODUCT(('Projects Overview'!$B$2:$B$5021="Torque Wrenches")*('Projects Overview'!$G$2:$G$5021="Forecast")*('Projects Overview'!AN$2:AN$5021))</f>
        <v>0</v>
      </c>
      <c r="AF107" s="104" cm="1">
        <f t="array" ref="AF107">SUMPRODUCT(('Projects Overview'!$B$2:$B$5021="Torque Wrenches")*('Projects Overview'!$G$2:$G$5021="Forecast")*('Projects Overview'!AO$2:AO$5021))</f>
        <v>0</v>
      </c>
      <c r="AG107" s="104" cm="1">
        <f t="array" ref="AG107">SUMPRODUCT(('Projects Overview'!$B$2:$B$5021="Torque Wrenches")*('Projects Overview'!$G$2:$G$5021="Forecast")*('Projects Overview'!AP$2:AP$5021))</f>
        <v>0</v>
      </c>
      <c r="AH107" s="104" cm="1">
        <f t="array" ref="AH107">SUMPRODUCT(('Projects Overview'!$B$2:$B$5021="Torque Wrenches")*('Projects Overview'!$G$2:$G$5021="Forecast")*('Projects Overview'!AQ$2:AQ$5021))</f>
        <v>0</v>
      </c>
      <c r="AI107" s="104" cm="1">
        <f t="array" ref="AI107">SUMPRODUCT(('Projects Overview'!$B$2:$B$5021="Torque Wrenches")*('Projects Overview'!$G$2:$G$5021="Forecast")*('Projects Overview'!AR$2:AR$5021))</f>
        <v>0</v>
      </c>
      <c r="AJ107" s="104" cm="1">
        <f t="array" ref="AJ107">SUMPRODUCT(('Projects Overview'!$B$2:$B$5021="Torque Wrenches")*('Projects Overview'!$G$2:$G$5021="Forecast")*('Projects Overview'!AS$2:AS$5021))</f>
        <v>0</v>
      </c>
      <c r="AK107" s="104" cm="1">
        <f t="array" ref="AK107">SUMPRODUCT(('Projects Overview'!$B$2:$B$5021="Torque Wrenches")*('Projects Overview'!$G$2:$G$5021="Forecast")*('Projects Overview'!AT$2:AT$5021))</f>
        <v>0</v>
      </c>
      <c r="AL107" s="104" cm="1">
        <f t="array" ref="AL107">SUMPRODUCT(('Projects Overview'!$B$2:$B$5021="Torque Wrenches")*('Projects Overview'!$G$2:$G$5021="Forecast")*('Projects Overview'!AU$2:AU$5021))</f>
        <v>0</v>
      </c>
      <c r="AM107" s="104" cm="1">
        <f t="array" ref="AM107">SUMPRODUCT(('Projects Overview'!$B$2:$B$5021="Torque Wrenches")*('Projects Overview'!$G$2:$G$5021="Forecast")*('Projects Overview'!AV$2:AV$5021))</f>
        <v>0</v>
      </c>
    </row>
    <row r="108" spans="1:39" x14ac:dyDescent="0.35">
      <c r="A108" s="222"/>
      <c r="B108" s="227" t="s">
        <v>162</v>
      </c>
      <c r="C108" s="4" t="s">
        <v>4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 cm="1">
        <f t="array" ref="I108">SUMPRODUCT(('Projects Overview'!$B$2:$B$5021="Wiresheaves")*('Projects Overview'!$G$2:$G$5021="Firm")*('Projects Overview'!R$2:R$5021))</f>
        <v>0</v>
      </c>
      <c r="J108" s="104" cm="1">
        <f t="array" ref="J108">SUMPRODUCT(('Projects Overview'!$B$2:$B$5021="Wiresheaves")*('Projects Overview'!$G$2:$G$5021="Firm")*('Projects Overview'!S$2:S$5021))</f>
        <v>0</v>
      </c>
      <c r="K108" s="104" cm="1">
        <f t="array" ref="K108">SUMPRODUCT(('Projects Overview'!$B$2:$B$5021="Wiresheaves")*('Projects Overview'!$G$2:$G$5021="Firm")*('Projects Overview'!T$2:T$5021))</f>
        <v>0</v>
      </c>
      <c r="L108" s="104" cm="1">
        <f t="array" ref="L108">SUMPRODUCT(('Projects Overview'!$B$2:$B$5021="Wiresheaves")*('Projects Overview'!$G$2:$G$5021="Firm")*('Projects Overview'!U$2:U$5021))</f>
        <v>0</v>
      </c>
      <c r="M108" s="104" cm="1">
        <f t="array" ref="M108">SUMPRODUCT(('Projects Overview'!$B$2:$B$5021="Wiresheaves")*('Projects Overview'!$G$2:$G$5021="Firm")*('Projects Overview'!V$2:V$5021))</f>
        <v>0</v>
      </c>
      <c r="N108" s="104" cm="1">
        <f t="array" ref="N108">SUMPRODUCT(('Projects Overview'!$B$2:$B$5021="Wiresheaves")*('Projects Overview'!$G$2:$G$5021="Firm")*('Projects Overview'!W$2:W$5021))</f>
        <v>0</v>
      </c>
      <c r="O108" s="104" cm="1">
        <f t="array" ref="O108">SUMPRODUCT(('Projects Overview'!$B$2:$B$5021="Wiresheaves")*('Projects Overview'!$G$2:$G$5021="Firm")*('Projects Overview'!X$2:X$5021))</f>
        <v>0</v>
      </c>
      <c r="P108" s="104" cm="1">
        <f t="array" ref="P108">SUMPRODUCT(('Projects Overview'!$B$2:$B$5021="Wiresheaves")*('Projects Overview'!$G$2:$G$5021="Firm")*('Projects Overview'!Y$2:Y$5021))</f>
        <v>0</v>
      </c>
      <c r="Q108" s="104" cm="1">
        <f t="array" ref="Q108">SUMPRODUCT(('Projects Overview'!$B$2:$B$5021="Wiresheaves")*('Projects Overview'!$G$2:$G$5021="Firm")*('Projects Overview'!Z$2:Z$5021))</f>
        <v>0</v>
      </c>
      <c r="R108" s="104" cm="1">
        <f t="array" ref="R108">SUMPRODUCT(('Projects Overview'!$B$2:$B$5021="Wiresheaves")*('Projects Overview'!$G$2:$G$5021="Firm")*('Projects Overview'!AA$2:AA$5021))</f>
        <v>0</v>
      </c>
      <c r="S108" s="104" cm="1">
        <f t="array" ref="S108">SUMPRODUCT(('Projects Overview'!$B$2:$B$5021="Wiresheaves")*('Projects Overview'!$G$2:$G$5021="Firm")*('Projects Overview'!AB$2:AB$5021))</f>
        <v>0</v>
      </c>
      <c r="T108" s="104" cm="1">
        <f t="array" ref="T108">SUMPRODUCT(('Projects Overview'!$B$2:$B$5021="Wiresheaves")*('Projects Overview'!$G$2:$G$5021="Firm")*('Projects Overview'!AC$2:AC$5021))</f>
        <v>0</v>
      </c>
      <c r="U108" s="104" cm="1">
        <f t="array" ref="U108">SUMPRODUCT(('Projects Overview'!$B$2:$B$5021="Wiresheaves")*('Projects Overview'!$G$2:$G$5021="Firm")*('Projects Overview'!AD$2:AD$5021))</f>
        <v>0</v>
      </c>
      <c r="V108" s="104" cm="1">
        <f t="array" ref="V108">SUMPRODUCT(('Projects Overview'!$B$2:$B$5021="Wiresheaves")*('Projects Overview'!$G$2:$G$5021="Firm")*('Projects Overview'!AE$2:AE$5021))</f>
        <v>0</v>
      </c>
      <c r="W108" s="104" cm="1">
        <f t="array" ref="W108">SUMPRODUCT(('Projects Overview'!$B$2:$B$5021="Wiresheaves")*('Projects Overview'!$G$2:$G$5021="Firm")*('Projects Overview'!AF$2:AF$5021))</f>
        <v>0</v>
      </c>
      <c r="X108" s="104" cm="1">
        <f t="array" ref="X108">SUMPRODUCT(('Projects Overview'!$B$2:$B$5021="Wiresheaves")*('Projects Overview'!$G$2:$G$5021="Firm")*('Projects Overview'!AG$2:AG$5021))</f>
        <v>0</v>
      </c>
      <c r="Y108" s="104" cm="1">
        <f t="array" ref="Y108">SUMPRODUCT(('Projects Overview'!$B$2:$B$5021="Wiresheaves")*('Projects Overview'!$G$2:$G$5021="Firm")*('Projects Overview'!AH$2:AH$5021))</f>
        <v>0</v>
      </c>
      <c r="Z108" s="104" cm="1">
        <f t="array" ref="Z108">SUMPRODUCT(('Projects Overview'!$B$2:$B$5021="Wiresheaves")*('Projects Overview'!$G$2:$G$5021="Firm")*('Projects Overview'!AI$2:AI$5021))</f>
        <v>0</v>
      </c>
      <c r="AA108" s="104" cm="1">
        <f t="array" ref="AA108">SUMPRODUCT(('Projects Overview'!$B$2:$B$5021="Wiresheaves")*('Projects Overview'!$G$2:$G$5021="Firm")*('Projects Overview'!AJ$2:AJ$5021))</f>
        <v>0</v>
      </c>
      <c r="AB108" s="104" cm="1">
        <f t="array" ref="AB108">SUMPRODUCT(('Projects Overview'!$B$2:$B$5021="Wiresheaves")*('Projects Overview'!$G$2:$G$5021="Firm")*('Projects Overview'!AK$2:AK$5021))</f>
        <v>0</v>
      </c>
      <c r="AC108" s="104" cm="1">
        <f t="array" ref="AC108">SUMPRODUCT(('Projects Overview'!$B$2:$B$5021="Wiresheaves")*('Projects Overview'!$G$2:$G$5021="Firm")*('Projects Overview'!AL$2:AL$5021))</f>
        <v>0</v>
      </c>
      <c r="AD108" s="104" cm="1">
        <f t="array" ref="AD108">SUMPRODUCT(('Projects Overview'!$B$2:$B$5021="Wiresheaves")*('Projects Overview'!$G$2:$G$5021="Firm")*('Projects Overview'!AM$2:AM$5021))</f>
        <v>0</v>
      </c>
      <c r="AE108" s="104" cm="1">
        <f t="array" ref="AE108">SUMPRODUCT(('Projects Overview'!$B$2:$B$5021="Wiresheaves")*('Projects Overview'!$G$2:$G$5021="Firm")*('Projects Overview'!AN$2:AN$5021))</f>
        <v>0</v>
      </c>
      <c r="AF108" s="104" cm="1">
        <f t="array" ref="AF108">SUMPRODUCT(('Projects Overview'!$B$2:$B$5021="Wiresheaves")*('Projects Overview'!$G$2:$G$5021="Firm")*('Projects Overview'!AO$2:AO$5021))</f>
        <v>0</v>
      </c>
      <c r="AG108" s="104" cm="1">
        <f t="array" ref="AG108">SUMPRODUCT(('Projects Overview'!$B$2:$B$5021="Wiresheaves")*('Projects Overview'!$G$2:$G$5021="Firm")*('Projects Overview'!AP$2:AP$5021))</f>
        <v>0</v>
      </c>
      <c r="AH108" s="104" cm="1">
        <f t="array" ref="AH108">SUMPRODUCT(('Projects Overview'!$B$2:$B$5021="Wiresheaves")*('Projects Overview'!$G$2:$G$5021="Firm")*('Projects Overview'!AQ$2:AQ$5021))</f>
        <v>0</v>
      </c>
      <c r="AI108" s="104" cm="1">
        <f t="array" ref="AI108">SUMPRODUCT(('Projects Overview'!$B$2:$B$5021="Wiresheaves")*('Projects Overview'!$G$2:$G$5021="Firm")*('Projects Overview'!AR$2:AR$5021))</f>
        <v>0</v>
      </c>
      <c r="AJ108" s="104" cm="1">
        <f t="array" ref="AJ108">SUMPRODUCT(('Projects Overview'!$B$2:$B$5021="Wiresheaves")*('Projects Overview'!$G$2:$G$5021="Firm")*('Projects Overview'!AS$2:AS$5021))</f>
        <v>0</v>
      </c>
      <c r="AK108" s="104" cm="1">
        <f t="array" ref="AK108">SUMPRODUCT(('Projects Overview'!$B$2:$B$5021="Wiresheaves")*('Projects Overview'!$G$2:$G$5021="Firm")*('Projects Overview'!AT$2:AT$5021))</f>
        <v>0</v>
      </c>
      <c r="AL108" s="104" cm="1">
        <f t="array" ref="AL108">SUMPRODUCT(('Projects Overview'!$B$2:$B$5021="Wiresheaves")*('Projects Overview'!$G$2:$G$5021="Firm")*('Projects Overview'!AU$2:AU$5021))</f>
        <v>0</v>
      </c>
      <c r="AM108" s="104" cm="1">
        <f t="array" ref="AM108">SUMPRODUCT(('Projects Overview'!$B$2:$B$5021="Wiresheaves")*('Projects Overview'!$G$2:$G$5021="Firm")*('Projects Overview'!AV$2:AV$5021))</f>
        <v>0</v>
      </c>
    </row>
    <row r="109" spans="1:39" x14ac:dyDescent="0.35">
      <c r="A109" s="222"/>
      <c r="B109" s="227"/>
      <c r="C109" s="2" t="s">
        <v>6</v>
      </c>
      <c r="D109" s="104">
        <v>0</v>
      </c>
      <c r="E109" s="104">
        <v>0</v>
      </c>
      <c r="F109" s="104">
        <v>0</v>
      </c>
      <c r="G109" s="104">
        <v>0</v>
      </c>
      <c r="H109" s="104">
        <v>0</v>
      </c>
      <c r="I109" s="104" cm="1">
        <f t="array" ref="I109">SUMPRODUCT(('Projects Overview'!$B$2:$B$5021="Wiresheaves")*('Projects Overview'!$G$2:$G$5021="Risk Release")*('Projects Overview'!R$2:R$5021))</f>
        <v>0</v>
      </c>
      <c r="J109" s="104" cm="1">
        <f t="array" ref="J109">SUMPRODUCT(('Projects Overview'!$B$2:$B$5021="Wiresheaves")*('Projects Overview'!$G$2:$G$5021="Risk Release")*('Projects Overview'!S$2:S$5021))</f>
        <v>0</v>
      </c>
      <c r="K109" s="104" cm="1">
        <f t="array" ref="K109">SUMPRODUCT(('Projects Overview'!$B$2:$B$5021="Wiresheaves")*('Projects Overview'!$G$2:$G$5021="Risk Release")*('Projects Overview'!T$2:T$5021))</f>
        <v>0</v>
      </c>
      <c r="L109" s="104" cm="1">
        <f t="array" ref="L109">SUMPRODUCT(('Projects Overview'!$B$2:$B$5021="Wiresheaves")*('Projects Overview'!$G$2:$G$5021="Risk Release")*('Projects Overview'!U$2:U$5021))</f>
        <v>0</v>
      </c>
      <c r="M109" s="104" cm="1">
        <f t="array" ref="M109">SUMPRODUCT(('Projects Overview'!$B$2:$B$5021="Wiresheaves")*('Projects Overview'!$G$2:$G$5021="Risk Release")*('Projects Overview'!V$2:V$5021))</f>
        <v>0</v>
      </c>
      <c r="N109" s="104" cm="1">
        <f t="array" ref="N109">SUMPRODUCT(('Projects Overview'!$B$2:$B$5021="Wiresheaves")*('Projects Overview'!$G$2:$G$5021="Risk Release")*('Projects Overview'!W$2:W$5021))</f>
        <v>0</v>
      </c>
      <c r="O109" s="104" cm="1">
        <f t="array" ref="O109">SUMPRODUCT(('Projects Overview'!$B$2:$B$5021="Wiresheaves")*('Projects Overview'!$G$2:$G$5021="Risk Release")*('Projects Overview'!X$2:X$5021))</f>
        <v>0</v>
      </c>
      <c r="P109" s="104" cm="1">
        <f t="array" ref="P109">SUMPRODUCT(('Projects Overview'!$B$2:$B$5021="Wiresheaves")*('Projects Overview'!$G$2:$G$5021="Risk Release")*('Projects Overview'!Y$2:Y$5021))</f>
        <v>0</v>
      </c>
      <c r="Q109" s="104" cm="1">
        <f t="array" ref="Q109">SUMPRODUCT(('Projects Overview'!$B$2:$B$5021="Wiresheaves")*('Projects Overview'!$G$2:$G$5021="Risk Release")*('Projects Overview'!Z$2:Z$5021))</f>
        <v>0</v>
      </c>
      <c r="R109" s="104" cm="1">
        <f t="array" ref="R109">SUMPRODUCT(('Projects Overview'!$B$2:$B$5021="Wiresheaves")*('Projects Overview'!$G$2:$G$5021="Risk Release")*('Projects Overview'!AA$2:AA$5021))</f>
        <v>0</v>
      </c>
      <c r="S109" s="104" cm="1">
        <f t="array" ref="S109">SUMPRODUCT(('Projects Overview'!$B$2:$B$5021="Wiresheaves")*('Projects Overview'!$G$2:$G$5021="Risk Release")*('Projects Overview'!AB$2:AB$5021))</f>
        <v>0</v>
      </c>
      <c r="T109" s="104" cm="1">
        <f t="array" ref="T109">SUMPRODUCT(('Projects Overview'!$B$2:$B$5021="Wiresheaves")*('Projects Overview'!$G$2:$G$5021="Risk Release")*('Projects Overview'!AC$2:AC$5021))</f>
        <v>0</v>
      </c>
      <c r="U109" s="104" cm="1">
        <f t="array" ref="U109">SUMPRODUCT(('Projects Overview'!$B$2:$B$5021="Wiresheaves")*('Projects Overview'!$G$2:$G$5021="Risk Release")*('Projects Overview'!AD$2:AD$5021))</f>
        <v>0</v>
      </c>
      <c r="V109" s="104" cm="1">
        <f t="array" ref="V109">SUMPRODUCT(('Projects Overview'!$B$2:$B$5021="Wiresheaves")*('Projects Overview'!$G$2:$G$5021="Risk Release")*('Projects Overview'!AE$2:AE$5021))</f>
        <v>0</v>
      </c>
      <c r="W109" s="104" cm="1">
        <f t="array" ref="W109">SUMPRODUCT(('Projects Overview'!$B$2:$B$5021="Wiresheaves")*('Projects Overview'!$G$2:$G$5021="Risk Release")*('Projects Overview'!AF$2:AF$5021))</f>
        <v>0</v>
      </c>
      <c r="X109" s="104" cm="1">
        <f t="array" ref="X109">SUMPRODUCT(('Projects Overview'!$B$2:$B$5021="Wiresheaves")*('Projects Overview'!$G$2:$G$5021="Risk Release")*('Projects Overview'!AG$2:AG$5021))</f>
        <v>0</v>
      </c>
      <c r="Y109" s="104" cm="1">
        <f t="array" ref="Y109">SUMPRODUCT(('Projects Overview'!$B$2:$B$5021="Wiresheaves")*('Projects Overview'!$G$2:$G$5021="Risk Release")*('Projects Overview'!AH$2:AH$5021))</f>
        <v>0</v>
      </c>
      <c r="Z109" s="104" cm="1">
        <f t="array" ref="Z109">SUMPRODUCT(('Projects Overview'!$B$2:$B$5021="Wiresheaves")*('Projects Overview'!$G$2:$G$5021="Risk Release")*('Projects Overview'!AI$2:AI$5021))</f>
        <v>0</v>
      </c>
      <c r="AA109" s="104" cm="1">
        <f t="array" ref="AA109">SUMPRODUCT(('Projects Overview'!$B$2:$B$5021="Wiresheaves")*('Projects Overview'!$G$2:$G$5021="Risk Release")*('Projects Overview'!AJ$2:AJ$5021))</f>
        <v>0</v>
      </c>
      <c r="AB109" s="104" cm="1">
        <f t="array" ref="AB109">SUMPRODUCT(('Projects Overview'!$B$2:$B$5021="Wiresheaves")*('Projects Overview'!$G$2:$G$5021="Risk Release")*('Projects Overview'!AK$2:AK$5021))</f>
        <v>0</v>
      </c>
      <c r="AC109" s="104" cm="1">
        <f t="array" ref="AC109">SUMPRODUCT(('Projects Overview'!$B$2:$B$5021="Wiresheaves")*('Projects Overview'!$G$2:$G$5021="Risk Release")*('Projects Overview'!AL$2:AL$5021))</f>
        <v>0</v>
      </c>
      <c r="AD109" s="104" cm="1">
        <f t="array" ref="AD109">SUMPRODUCT(('Projects Overview'!$B$2:$B$5021="Wiresheaves")*('Projects Overview'!$G$2:$G$5021="Risk Release")*('Projects Overview'!AM$2:AM$5021))</f>
        <v>0</v>
      </c>
      <c r="AE109" s="104" cm="1">
        <f t="array" ref="AE109">SUMPRODUCT(('Projects Overview'!$B$2:$B$5021="Wiresheaves")*('Projects Overview'!$G$2:$G$5021="Risk Release")*('Projects Overview'!AN$2:AN$5021))</f>
        <v>0</v>
      </c>
      <c r="AF109" s="104" cm="1">
        <f t="array" ref="AF109">SUMPRODUCT(('Projects Overview'!$B$2:$B$5021="Wiresheaves")*('Projects Overview'!$G$2:$G$5021="Risk Release")*('Projects Overview'!AO$2:AO$5021))</f>
        <v>0</v>
      </c>
      <c r="AG109" s="104" cm="1">
        <f t="array" ref="AG109">SUMPRODUCT(('Projects Overview'!$B$2:$B$5021="Wiresheaves")*('Projects Overview'!$G$2:$G$5021="Risk Release")*('Projects Overview'!AP$2:AP$5021))</f>
        <v>0</v>
      </c>
      <c r="AH109" s="104" cm="1">
        <f t="array" ref="AH109">SUMPRODUCT(('Projects Overview'!$B$2:$B$5021="Wiresheaves")*('Projects Overview'!$G$2:$G$5021="Risk Release")*('Projects Overview'!AQ$2:AQ$5021))</f>
        <v>0</v>
      </c>
      <c r="AI109" s="104" cm="1">
        <f t="array" ref="AI109">SUMPRODUCT(('Projects Overview'!$B$2:$B$5021="Wiresheaves")*('Projects Overview'!$G$2:$G$5021="Risk Release")*('Projects Overview'!AR$2:AR$5021))</f>
        <v>0</v>
      </c>
      <c r="AJ109" s="104" cm="1">
        <f t="array" ref="AJ109">SUMPRODUCT(('Projects Overview'!$B$2:$B$5021="Wiresheaves")*('Projects Overview'!$G$2:$G$5021="Risk Release")*('Projects Overview'!AS$2:AS$5021))</f>
        <v>0</v>
      </c>
      <c r="AK109" s="104" cm="1">
        <f t="array" ref="AK109">SUMPRODUCT(('Projects Overview'!$B$2:$B$5021="Wiresheaves")*('Projects Overview'!$G$2:$G$5021="Risk Release")*('Projects Overview'!AT$2:AT$5021))</f>
        <v>0</v>
      </c>
      <c r="AL109" s="104" cm="1">
        <f t="array" ref="AL109">SUMPRODUCT(('Projects Overview'!$B$2:$B$5021="Wiresheaves")*('Projects Overview'!$G$2:$G$5021="Risk Release")*('Projects Overview'!AU$2:AU$5021))</f>
        <v>0</v>
      </c>
      <c r="AM109" s="104" cm="1">
        <f t="array" ref="AM109">SUMPRODUCT(('Projects Overview'!$B$2:$B$5021="Wiresheaves")*('Projects Overview'!$G$2:$G$5021="Risk Release")*('Projects Overview'!AV$2:AV$5021))</f>
        <v>0</v>
      </c>
    </row>
    <row r="110" spans="1:39" x14ac:dyDescent="0.35">
      <c r="A110" s="222"/>
      <c r="B110" s="228"/>
      <c r="C110" s="3" t="s">
        <v>8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 cm="1">
        <f t="array" ref="I110">SUMPRODUCT(('Projects Overview'!$B$2:$B$5021="Wiresheaves")*('Projects Overview'!$G$2:$G$5021="Forecast")*('Projects Overview'!R$2:R$5021))</f>
        <v>0</v>
      </c>
      <c r="J110" s="104" cm="1">
        <f t="array" ref="J110">SUMPRODUCT(('Projects Overview'!$B$2:$B$5021="Wiresheaves")*('Projects Overview'!$G$2:$G$5021="Forecast")*('Projects Overview'!S$2:S$5021))</f>
        <v>0</v>
      </c>
      <c r="K110" s="104" cm="1">
        <f t="array" ref="K110">SUMPRODUCT(('Projects Overview'!$B$2:$B$5021="Wiresheaves")*('Projects Overview'!$G$2:$G$5021="Forecast")*('Projects Overview'!T$2:T$5021))</f>
        <v>0</v>
      </c>
      <c r="L110" s="104" cm="1">
        <f t="array" ref="L110">SUMPRODUCT(('Projects Overview'!$B$2:$B$5021="Wiresheaves")*('Projects Overview'!$G$2:$G$5021="Forecast")*('Projects Overview'!U$2:U$5021))</f>
        <v>0</v>
      </c>
      <c r="M110" s="104" cm="1">
        <f t="array" ref="M110">SUMPRODUCT(('Projects Overview'!$B$2:$B$5021="Wiresheaves")*('Projects Overview'!$G$2:$G$5021="Forecast")*('Projects Overview'!V$2:V$5021))</f>
        <v>0</v>
      </c>
      <c r="N110" s="104" cm="1">
        <f t="array" ref="N110">SUMPRODUCT(('Projects Overview'!$B$2:$B$5021="Wiresheaves")*('Projects Overview'!$G$2:$G$5021="Forecast")*('Projects Overview'!W$2:W$5021))</f>
        <v>0</v>
      </c>
      <c r="O110" s="104" cm="1">
        <f t="array" ref="O110">SUMPRODUCT(('Projects Overview'!$B$2:$B$5021="Wiresheaves")*('Projects Overview'!$G$2:$G$5021="Forecast")*('Projects Overview'!X$2:X$5021))</f>
        <v>0</v>
      </c>
      <c r="P110" s="104" cm="1">
        <f t="array" ref="P110">SUMPRODUCT(('Projects Overview'!$B$2:$B$5021="Wiresheaves")*('Projects Overview'!$G$2:$G$5021="Forecast")*('Projects Overview'!Y$2:Y$5021))</f>
        <v>0</v>
      </c>
      <c r="Q110" s="104" cm="1">
        <f t="array" ref="Q110">SUMPRODUCT(('Projects Overview'!$B$2:$B$5021="Wiresheaves")*('Projects Overview'!$G$2:$G$5021="Forecast")*('Projects Overview'!Z$2:Z$5021))</f>
        <v>0</v>
      </c>
      <c r="R110" s="104" cm="1">
        <f t="array" ref="R110">SUMPRODUCT(('Projects Overview'!$B$2:$B$5021="Wiresheaves")*('Projects Overview'!$G$2:$G$5021="Forecast")*('Projects Overview'!AA$2:AA$5021))</f>
        <v>0</v>
      </c>
      <c r="S110" s="104" cm="1">
        <f t="array" ref="S110">SUMPRODUCT(('Projects Overview'!$B$2:$B$5021="Wiresheaves")*('Projects Overview'!$G$2:$G$5021="Forecast")*('Projects Overview'!AB$2:AB$5021))</f>
        <v>0</v>
      </c>
      <c r="T110" s="104" cm="1">
        <f t="array" ref="T110">SUMPRODUCT(('Projects Overview'!$B$2:$B$5021="Wiresheaves")*('Projects Overview'!$G$2:$G$5021="Forecast")*('Projects Overview'!AC$2:AC$5021))</f>
        <v>0</v>
      </c>
      <c r="U110" s="104" cm="1">
        <f t="array" ref="U110">SUMPRODUCT(('Projects Overview'!$B$2:$B$5021="Wiresheaves")*('Projects Overview'!$G$2:$G$5021="Forecast")*('Projects Overview'!AD$2:AD$5021))</f>
        <v>0</v>
      </c>
      <c r="V110" s="104" cm="1">
        <f t="array" ref="V110">SUMPRODUCT(('Projects Overview'!$B$2:$B$5021="Wiresheaves")*('Projects Overview'!$G$2:$G$5021="Forecast")*('Projects Overview'!AE$2:AE$5021))</f>
        <v>0</v>
      </c>
      <c r="W110" s="104" cm="1">
        <f t="array" ref="W110">SUMPRODUCT(('Projects Overview'!$B$2:$B$5021="Wiresheaves")*('Projects Overview'!$G$2:$G$5021="Forecast")*('Projects Overview'!AF$2:AF$5021))</f>
        <v>0</v>
      </c>
      <c r="X110" s="104" cm="1">
        <f t="array" ref="X110">SUMPRODUCT(('Projects Overview'!$B$2:$B$5021="Wiresheaves")*('Projects Overview'!$G$2:$G$5021="Forecast")*('Projects Overview'!AG$2:AG$5021))</f>
        <v>0</v>
      </c>
      <c r="Y110" s="104" cm="1">
        <f t="array" ref="Y110">SUMPRODUCT(('Projects Overview'!$B$2:$B$5021="Wiresheaves")*('Projects Overview'!$G$2:$G$5021="Forecast")*('Projects Overview'!AH$2:AH$5021))</f>
        <v>0</v>
      </c>
      <c r="Z110" s="104" cm="1">
        <f t="array" ref="Z110">SUMPRODUCT(('Projects Overview'!$B$2:$B$5021="Wiresheaves")*('Projects Overview'!$G$2:$G$5021="Forecast")*('Projects Overview'!AI$2:AI$5021))</f>
        <v>0</v>
      </c>
      <c r="AA110" s="104" cm="1">
        <f t="array" ref="AA110">SUMPRODUCT(('Projects Overview'!$B$2:$B$5021="Wiresheaves")*('Projects Overview'!$G$2:$G$5021="Forecast")*('Projects Overview'!AJ$2:AJ$5021))</f>
        <v>0</v>
      </c>
      <c r="AB110" s="104" cm="1">
        <f t="array" ref="AB110">SUMPRODUCT(('Projects Overview'!$B$2:$B$5021="Wiresheaves")*('Projects Overview'!$G$2:$G$5021="Forecast")*('Projects Overview'!AK$2:AK$5021))</f>
        <v>0</v>
      </c>
      <c r="AC110" s="104" cm="1">
        <f t="array" ref="AC110">SUMPRODUCT(('Projects Overview'!$B$2:$B$5021="Wiresheaves")*('Projects Overview'!$G$2:$G$5021="Forecast")*('Projects Overview'!AL$2:AL$5021))</f>
        <v>0</v>
      </c>
      <c r="AD110" s="104" cm="1">
        <f t="array" ref="AD110">SUMPRODUCT(('Projects Overview'!$B$2:$B$5021="Wiresheaves")*('Projects Overview'!$G$2:$G$5021="Forecast")*('Projects Overview'!AM$2:AM$5021))</f>
        <v>0</v>
      </c>
      <c r="AE110" s="104" cm="1">
        <f t="array" ref="AE110">SUMPRODUCT(('Projects Overview'!$B$2:$B$5021="Wiresheaves")*('Projects Overview'!$G$2:$G$5021="Forecast")*('Projects Overview'!AN$2:AN$5021))</f>
        <v>0</v>
      </c>
      <c r="AF110" s="104" cm="1">
        <f t="array" ref="AF110">SUMPRODUCT(('Projects Overview'!$B$2:$B$5021="Wiresheaves")*('Projects Overview'!$G$2:$G$5021="Forecast")*('Projects Overview'!AO$2:AO$5021))</f>
        <v>0</v>
      </c>
      <c r="AG110" s="104" cm="1">
        <f t="array" ref="AG110">SUMPRODUCT(('Projects Overview'!$B$2:$B$5021="Wiresheaves")*('Projects Overview'!$G$2:$G$5021="Forecast")*('Projects Overview'!AP$2:AP$5021))</f>
        <v>0</v>
      </c>
      <c r="AH110" s="104" cm="1">
        <f t="array" ref="AH110">SUMPRODUCT(('Projects Overview'!$B$2:$B$5021="Wiresheaves")*('Projects Overview'!$G$2:$G$5021="Forecast")*('Projects Overview'!AQ$2:AQ$5021))</f>
        <v>0</v>
      </c>
      <c r="AI110" s="104" cm="1">
        <f t="array" ref="AI110">SUMPRODUCT(('Projects Overview'!$B$2:$B$5021="Wiresheaves")*('Projects Overview'!$G$2:$G$5021="Forecast")*('Projects Overview'!AR$2:AR$5021))</f>
        <v>0</v>
      </c>
      <c r="AJ110" s="104" cm="1">
        <f t="array" ref="AJ110">SUMPRODUCT(('Projects Overview'!$B$2:$B$5021="Wiresheaves")*('Projects Overview'!$G$2:$G$5021="Forecast")*('Projects Overview'!AS$2:AS$5021))</f>
        <v>0</v>
      </c>
      <c r="AK110" s="104" cm="1">
        <f t="array" ref="AK110">SUMPRODUCT(('Projects Overview'!$B$2:$B$5021="Wiresheaves")*('Projects Overview'!$G$2:$G$5021="Forecast")*('Projects Overview'!AT$2:AT$5021))</f>
        <v>0</v>
      </c>
      <c r="AL110" s="104" cm="1">
        <f t="array" ref="AL110">SUMPRODUCT(('Projects Overview'!$B$2:$B$5021="Wiresheaves")*('Projects Overview'!$G$2:$G$5021="Forecast")*('Projects Overview'!AU$2:AU$5021))</f>
        <v>0</v>
      </c>
      <c r="AM110" s="104" cm="1">
        <f t="array" ref="AM110">SUMPRODUCT(('Projects Overview'!$B$2:$B$5021="Wiresheaves")*('Projects Overview'!$G$2:$G$5021="Forecast")*('Projects Overview'!AV$2:AV$5021))</f>
        <v>0</v>
      </c>
    </row>
    <row r="111" spans="1:39" x14ac:dyDescent="0.35">
      <c r="A111" s="222"/>
      <c r="B111" s="227" t="s">
        <v>164</v>
      </c>
      <c r="C111" s="4" t="s">
        <v>4</v>
      </c>
      <c r="D111" s="104">
        <v>0</v>
      </c>
      <c r="E111" s="104">
        <v>0</v>
      </c>
      <c r="F111" s="104">
        <v>0</v>
      </c>
      <c r="G111" s="104">
        <v>0</v>
      </c>
      <c r="H111" s="104">
        <v>0</v>
      </c>
      <c r="I111" s="104" cm="1">
        <f t="array" ref="I111">SUMPRODUCT(('Projects Overview'!$B$2:$B$5021="Riser Running Tool")*('Projects Overview'!$G$2:$G$5021="Firm")*('Projects Overview'!R$2:R$5021))</f>
        <v>0</v>
      </c>
      <c r="J111" s="104" cm="1">
        <f t="array" ref="J111">SUMPRODUCT(('Projects Overview'!$B$2:$B$5021="Riser Running Tool")*('Projects Overview'!$G$2:$G$5021="Firm")*('Projects Overview'!S$2:S$5021))</f>
        <v>0</v>
      </c>
      <c r="K111" s="104" cm="1">
        <f t="array" ref="K111">SUMPRODUCT(('Projects Overview'!$B$2:$B$5021="Riser Running Tool")*('Projects Overview'!$G$2:$G$5021="Firm")*('Projects Overview'!T$2:T$5021))</f>
        <v>0</v>
      </c>
      <c r="L111" s="104" cm="1">
        <f t="array" ref="L111">SUMPRODUCT(('Projects Overview'!$B$2:$B$5021="Riser Running Tool")*('Projects Overview'!$G$2:$G$5021="Firm")*('Projects Overview'!U$2:U$5021))</f>
        <v>0</v>
      </c>
      <c r="M111" s="104" cm="1">
        <f t="array" ref="M111">SUMPRODUCT(('Projects Overview'!$B$2:$B$5021="Riser Running Tool")*('Projects Overview'!$G$2:$G$5021="Firm")*('Projects Overview'!V$2:V$5021))</f>
        <v>0</v>
      </c>
      <c r="N111" s="104" cm="1">
        <f t="array" ref="N111">SUMPRODUCT(('Projects Overview'!$B$2:$B$5021="Riser Running Tool")*('Projects Overview'!$G$2:$G$5021="Firm")*('Projects Overview'!W$2:W$5021))</f>
        <v>0</v>
      </c>
      <c r="O111" s="104" cm="1">
        <f t="array" ref="O111">SUMPRODUCT(('Projects Overview'!$B$2:$B$5021="Riser Running Tool")*('Projects Overview'!$G$2:$G$5021="Firm")*('Projects Overview'!X$2:X$5021))</f>
        <v>0</v>
      </c>
      <c r="P111" s="104" cm="1">
        <f t="array" ref="P111">SUMPRODUCT(('Projects Overview'!$B$2:$B$5021="Riser Running Tool")*('Projects Overview'!$G$2:$G$5021="Firm")*('Projects Overview'!Y$2:Y$5021))</f>
        <v>0</v>
      </c>
      <c r="Q111" s="104" cm="1">
        <f t="array" ref="Q111">SUMPRODUCT(('Projects Overview'!$B$2:$B$5021="Riser Running Tool")*('Projects Overview'!$G$2:$G$5021="Firm")*('Projects Overview'!Z$2:Z$5021))</f>
        <v>0</v>
      </c>
      <c r="R111" s="104" cm="1">
        <f t="array" ref="R111">SUMPRODUCT(('Projects Overview'!$B$2:$B$5021="Riser Running Tool")*('Projects Overview'!$G$2:$G$5021="Firm")*('Projects Overview'!AA$2:AA$5021))</f>
        <v>0</v>
      </c>
      <c r="S111" s="104" cm="1">
        <f t="array" ref="S111">SUMPRODUCT(('Projects Overview'!$B$2:$B$5021="Riser Running Tool")*('Projects Overview'!$G$2:$G$5021="Firm")*('Projects Overview'!AB$2:AB$5021))</f>
        <v>0</v>
      </c>
      <c r="T111" s="104" cm="1">
        <f t="array" ref="T111">SUMPRODUCT(('Projects Overview'!$B$2:$B$5021="Riser Running Tool")*('Projects Overview'!$G$2:$G$5021="Firm")*('Projects Overview'!AC$2:AC$5021))</f>
        <v>0</v>
      </c>
      <c r="U111" s="104" cm="1">
        <f t="array" ref="U111">SUMPRODUCT(('Projects Overview'!$B$2:$B$5021="Riser Running Tool")*('Projects Overview'!$G$2:$G$5021="Firm")*('Projects Overview'!AD$2:AD$5021))</f>
        <v>0</v>
      </c>
      <c r="V111" s="104" cm="1">
        <f t="array" ref="V111">SUMPRODUCT(('Projects Overview'!$B$2:$B$5021="Riser Running Tool")*('Projects Overview'!$G$2:$G$5021="Firm")*('Projects Overview'!AE$2:AE$5021))</f>
        <v>0</v>
      </c>
      <c r="W111" s="104" cm="1">
        <f t="array" ref="W111">SUMPRODUCT(('Projects Overview'!$B$2:$B$5021="Riser Running Tool")*('Projects Overview'!$G$2:$G$5021="Firm")*('Projects Overview'!AF$2:AF$5021))</f>
        <v>0</v>
      </c>
      <c r="X111" s="104" cm="1">
        <f t="array" ref="X111">SUMPRODUCT(('Projects Overview'!$B$2:$B$5021="Riser Running Tool")*('Projects Overview'!$G$2:$G$5021="Firm")*('Projects Overview'!AG$2:AG$5021))</f>
        <v>0</v>
      </c>
      <c r="Y111" s="104" cm="1">
        <f t="array" ref="Y111">SUMPRODUCT(('Projects Overview'!$B$2:$B$5021="Riser Running Tool")*('Projects Overview'!$G$2:$G$5021="Firm")*('Projects Overview'!AH$2:AH$5021))</f>
        <v>0</v>
      </c>
      <c r="Z111" s="104" cm="1">
        <f t="array" ref="Z111">SUMPRODUCT(('Projects Overview'!$B$2:$B$5021="Riser Running Tool")*('Projects Overview'!$G$2:$G$5021="Firm")*('Projects Overview'!AI$2:AI$5021))</f>
        <v>0</v>
      </c>
      <c r="AA111" s="104" cm="1">
        <f t="array" ref="AA111">SUMPRODUCT(('Projects Overview'!$B$2:$B$5021="Riser Running Tool")*('Projects Overview'!$G$2:$G$5021="Firm")*('Projects Overview'!AJ$2:AJ$5021))</f>
        <v>0</v>
      </c>
      <c r="AB111" s="104" cm="1">
        <f t="array" ref="AB111">SUMPRODUCT(('Projects Overview'!$B$2:$B$5021="Riser Running Tool")*('Projects Overview'!$G$2:$G$5021="Firm")*('Projects Overview'!AK$2:AK$5021))</f>
        <v>0</v>
      </c>
      <c r="AC111" s="104" cm="1">
        <f t="array" ref="AC111">SUMPRODUCT(('Projects Overview'!$B$2:$B$5021="Riser Running Tool")*('Projects Overview'!$G$2:$G$5021="Firm")*('Projects Overview'!AL$2:AL$5021))</f>
        <v>0</v>
      </c>
      <c r="AD111" s="104" cm="1">
        <f t="array" ref="AD111">SUMPRODUCT(('Projects Overview'!$B$2:$B$5021="Riser Running Tool")*('Projects Overview'!$G$2:$G$5021="Firm")*('Projects Overview'!AM$2:AM$5021))</f>
        <v>0</v>
      </c>
      <c r="AE111" s="104" cm="1">
        <f t="array" ref="AE111">SUMPRODUCT(('Projects Overview'!$B$2:$B$5021="Riser Running Tool")*('Projects Overview'!$G$2:$G$5021="Firm")*('Projects Overview'!AN$2:AN$5021))</f>
        <v>0</v>
      </c>
      <c r="AF111" s="104" cm="1">
        <f t="array" ref="AF111">SUMPRODUCT(('Projects Overview'!$B$2:$B$5021="Riser Running Tool")*('Projects Overview'!$G$2:$G$5021="Firm")*('Projects Overview'!AO$2:AO$5021))</f>
        <v>0</v>
      </c>
      <c r="AG111" s="104" cm="1">
        <f t="array" ref="AG111">SUMPRODUCT(('Projects Overview'!$B$2:$B$5021="Riser Running Tool")*('Projects Overview'!$G$2:$G$5021="Firm")*('Projects Overview'!AP$2:AP$5021))</f>
        <v>0</v>
      </c>
      <c r="AH111" s="104" cm="1">
        <f t="array" ref="AH111">SUMPRODUCT(('Projects Overview'!$B$2:$B$5021="Riser Running Tool")*('Projects Overview'!$G$2:$G$5021="Firm")*('Projects Overview'!AQ$2:AQ$5021))</f>
        <v>0</v>
      </c>
      <c r="AI111" s="104" cm="1">
        <f t="array" ref="AI111">SUMPRODUCT(('Projects Overview'!$B$2:$B$5021="Riser Running Tool")*('Projects Overview'!$G$2:$G$5021="Firm")*('Projects Overview'!AR$2:AR$5021))</f>
        <v>0</v>
      </c>
      <c r="AJ111" s="104" cm="1">
        <f t="array" ref="AJ111">SUMPRODUCT(('Projects Overview'!$B$2:$B$5021="Riser Running Tool")*('Projects Overview'!$G$2:$G$5021="Firm")*('Projects Overview'!AS$2:AS$5021))</f>
        <v>0</v>
      </c>
      <c r="AK111" s="104" cm="1">
        <f t="array" ref="AK111">SUMPRODUCT(('Projects Overview'!$B$2:$B$5021="Riser Running Tool")*('Projects Overview'!$G$2:$G$5021="Firm")*('Projects Overview'!AT$2:AT$5021))</f>
        <v>0</v>
      </c>
      <c r="AL111" s="104" cm="1">
        <f t="array" ref="AL111">SUMPRODUCT(('Projects Overview'!$B$2:$B$5021="Riser Running Tool")*('Projects Overview'!$G$2:$G$5021="Firm")*('Projects Overview'!AU$2:AU$5021))</f>
        <v>0</v>
      </c>
      <c r="AM111" s="104" cm="1">
        <f t="array" ref="AM111">SUMPRODUCT(('Projects Overview'!$B$2:$B$5021="Riser Running Tool")*('Projects Overview'!$G$2:$G$5021="Firm")*('Projects Overview'!AV$2:AV$5021))</f>
        <v>0</v>
      </c>
    </row>
    <row r="112" spans="1:39" x14ac:dyDescent="0.35">
      <c r="A112" s="222"/>
      <c r="B112" s="227"/>
      <c r="C112" s="2" t="s">
        <v>6</v>
      </c>
      <c r="D112" s="104">
        <v>0</v>
      </c>
      <c r="E112" s="104">
        <v>0</v>
      </c>
      <c r="F112" s="104">
        <v>0</v>
      </c>
      <c r="G112" s="104">
        <v>0</v>
      </c>
      <c r="H112" s="104">
        <v>0</v>
      </c>
      <c r="I112" s="104" cm="1">
        <f t="array" ref="I112">SUMPRODUCT(('Projects Overview'!$B$2:$B$5021="Riser Running Tool")*('Projects Overview'!$G$2:$G$5021="Risk Release")*('Projects Overview'!R$2:R$5021))</f>
        <v>0</v>
      </c>
      <c r="J112" s="104" cm="1">
        <f t="array" ref="J112">SUMPRODUCT(('Projects Overview'!$B$2:$B$5021="Riser Running Tool")*('Projects Overview'!$G$2:$G$5021="Risk Release")*('Projects Overview'!S$2:S$5021))</f>
        <v>0</v>
      </c>
      <c r="K112" s="104" cm="1">
        <f t="array" ref="K112">SUMPRODUCT(('Projects Overview'!$B$2:$B$5021="Riser Running Tool")*('Projects Overview'!$G$2:$G$5021="Risk Release")*('Projects Overview'!T$2:T$5021))</f>
        <v>0</v>
      </c>
      <c r="L112" s="104" cm="1">
        <f t="array" ref="L112">SUMPRODUCT(('Projects Overview'!$B$2:$B$5021="Riser Running Tool")*('Projects Overview'!$G$2:$G$5021="Risk Release")*('Projects Overview'!U$2:U$5021))</f>
        <v>0</v>
      </c>
      <c r="M112" s="104" cm="1">
        <f t="array" ref="M112">SUMPRODUCT(('Projects Overview'!$B$2:$B$5021="Riser Running Tool")*('Projects Overview'!$G$2:$G$5021="Risk Release")*('Projects Overview'!V$2:V$5021))</f>
        <v>0</v>
      </c>
      <c r="N112" s="104" cm="1">
        <f t="array" ref="N112">SUMPRODUCT(('Projects Overview'!$B$2:$B$5021="Riser Running Tool")*('Projects Overview'!$G$2:$G$5021="Risk Release")*('Projects Overview'!W$2:W$5021))</f>
        <v>0</v>
      </c>
      <c r="O112" s="104" cm="1">
        <f t="array" ref="O112">SUMPRODUCT(('Projects Overview'!$B$2:$B$5021="Riser Running Tool")*('Projects Overview'!$G$2:$G$5021="Risk Release")*('Projects Overview'!X$2:X$5021))</f>
        <v>0</v>
      </c>
      <c r="P112" s="104" cm="1">
        <f t="array" ref="P112">SUMPRODUCT(('Projects Overview'!$B$2:$B$5021="Riser Running Tool")*('Projects Overview'!$G$2:$G$5021="Risk Release")*('Projects Overview'!Y$2:Y$5021))</f>
        <v>0</v>
      </c>
      <c r="Q112" s="104" cm="1">
        <f t="array" ref="Q112">SUMPRODUCT(('Projects Overview'!$B$2:$B$5021="Riser Running Tool")*('Projects Overview'!$G$2:$G$5021="Risk Release")*('Projects Overview'!Z$2:Z$5021))</f>
        <v>0</v>
      </c>
      <c r="R112" s="104" cm="1">
        <f t="array" ref="R112">SUMPRODUCT(('Projects Overview'!$B$2:$B$5021="Riser Running Tool")*('Projects Overview'!$G$2:$G$5021="Risk Release")*('Projects Overview'!AA$2:AA$5021))</f>
        <v>0</v>
      </c>
      <c r="S112" s="104" cm="1">
        <f t="array" ref="S112">SUMPRODUCT(('Projects Overview'!$B$2:$B$5021="Riser Running Tool")*('Projects Overview'!$G$2:$G$5021="Risk Release")*('Projects Overview'!AB$2:AB$5021))</f>
        <v>0</v>
      </c>
      <c r="T112" s="104" cm="1">
        <f t="array" ref="T112">SUMPRODUCT(('Projects Overview'!$B$2:$B$5021="Riser Running Tool")*('Projects Overview'!$G$2:$G$5021="Risk Release")*('Projects Overview'!AC$2:AC$5021))</f>
        <v>0</v>
      </c>
      <c r="U112" s="104" cm="1">
        <f t="array" ref="U112">SUMPRODUCT(('Projects Overview'!$B$2:$B$5021="Riser Running Tool")*('Projects Overview'!$G$2:$G$5021="Risk Release")*('Projects Overview'!AD$2:AD$5021))</f>
        <v>0</v>
      </c>
      <c r="V112" s="104" cm="1">
        <f t="array" ref="V112">SUMPRODUCT(('Projects Overview'!$B$2:$B$5021="Riser Running Tool")*('Projects Overview'!$G$2:$G$5021="Risk Release")*('Projects Overview'!AE$2:AE$5021))</f>
        <v>0</v>
      </c>
      <c r="W112" s="104" cm="1">
        <f t="array" ref="W112">SUMPRODUCT(('Projects Overview'!$B$2:$B$5021="Riser Running Tool")*('Projects Overview'!$G$2:$G$5021="Risk Release")*('Projects Overview'!AF$2:AF$5021))</f>
        <v>0</v>
      </c>
      <c r="X112" s="104" cm="1">
        <f t="array" ref="X112">SUMPRODUCT(('Projects Overview'!$B$2:$B$5021="Riser Running Tool")*('Projects Overview'!$G$2:$G$5021="Risk Release")*('Projects Overview'!AG$2:AG$5021))</f>
        <v>0</v>
      </c>
      <c r="Y112" s="104" cm="1">
        <f t="array" ref="Y112">SUMPRODUCT(('Projects Overview'!$B$2:$B$5021="Riser Running Tool")*('Projects Overview'!$G$2:$G$5021="Risk Release")*('Projects Overview'!AH$2:AH$5021))</f>
        <v>0</v>
      </c>
      <c r="Z112" s="104" cm="1">
        <f t="array" ref="Z112">SUMPRODUCT(('Projects Overview'!$B$2:$B$5021="Riser Running Tool")*('Projects Overview'!$G$2:$G$5021="Risk Release")*('Projects Overview'!AI$2:AI$5021))</f>
        <v>0</v>
      </c>
      <c r="AA112" s="104" cm="1">
        <f t="array" ref="AA112">SUMPRODUCT(('Projects Overview'!$B$2:$B$5021="Riser Running Tool")*('Projects Overview'!$G$2:$G$5021="Risk Release")*('Projects Overview'!AJ$2:AJ$5021))</f>
        <v>0</v>
      </c>
      <c r="AB112" s="104" cm="1">
        <f t="array" ref="AB112">SUMPRODUCT(('Projects Overview'!$B$2:$B$5021="Riser Running Tool")*('Projects Overview'!$G$2:$G$5021="Risk Release")*('Projects Overview'!AK$2:AK$5021))</f>
        <v>0</v>
      </c>
      <c r="AC112" s="104" cm="1">
        <f t="array" ref="AC112">SUMPRODUCT(('Projects Overview'!$B$2:$B$5021="Riser Running Tool")*('Projects Overview'!$G$2:$G$5021="Risk Release")*('Projects Overview'!AL$2:AL$5021))</f>
        <v>0</v>
      </c>
      <c r="AD112" s="104" cm="1">
        <f t="array" ref="AD112">SUMPRODUCT(('Projects Overview'!$B$2:$B$5021="Riser Running Tool")*('Projects Overview'!$G$2:$G$5021="Risk Release")*('Projects Overview'!AM$2:AM$5021))</f>
        <v>0</v>
      </c>
      <c r="AE112" s="104" cm="1">
        <f t="array" ref="AE112">SUMPRODUCT(('Projects Overview'!$B$2:$B$5021="Riser Running Tool")*('Projects Overview'!$G$2:$G$5021="Risk Release")*('Projects Overview'!AN$2:AN$5021))</f>
        <v>0</v>
      </c>
      <c r="AF112" s="104" cm="1">
        <f t="array" ref="AF112">SUMPRODUCT(('Projects Overview'!$B$2:$B$5021="Riser Running Tool")*('Projects Overview'!$G$2:$G$5021="Risk Release")*('Projects Overview'!AO$2:AO$5021))</f>
        <v>0</v>
      </c>
      <c r="AG112" s="104" cm="1">
        <f t="array" ref="AG112">SUMPRODUCT(('Projects Overview'!$B$2:$B$5021="Riser Running Tool")*('Projects Overview'!$G$2:$G$5021="Risk Release")*('Projects Overview'!AP$2:AP$5021))</f>
        <v>0</v>
      </c>
      <c r="AH112" s="104" cm="1">
        <f t="array" ref="AH112">SUMPRODUCT(('Projects Overview'!$B$2:$B$5021="Riser Running Tool")*('Projects Overview'!$G$2:$G$5021="Risk Release")*('Projects Overview'!AQ$2:AQ$5021))</f>
        <v>0</v>
      </c>
      <c r="AI112" s="104" cm="1">
        <f t="array" ref="AI112">SUMPRODUCT(('Projects Overview'!$B$2:$B$5021="Riser Running Tool")*('Projects Overview'!$G$2:$G$5021="Risk Release")*('Projects Overview'!AR$2:AR$5021))</f>
        <v>0</v>
      </c>
      <c r="AJ112" s="104" cm="1">
        <f t="array" ref="AJ112">SUMPRODUCT(('Projects Overview'!$B$2:$B$5021="Riser Running Tool")*('Projects Overview'!$G$2:$G$5021="Risk Release")*('Projects Overview'!AS$2:AS$5021))</f>
        <v>0</v>
      </c>
      <c r="AK112" s="104" cm="1">
        <f t="array" ref="AK112">SUMPRODUCT(('Projects Overview'!$B$2:$B$5021="Riser Running Tool")*('Projects Overview'!$G$2:$G$5021="Risk Release")*('Projects Overview'!AT$2:AT$5021))</f>
        <v>0</v>
      </c>
      <c r="AL112" s="104" cm="1">
        <f t="array" ref="AL112">SUMPRODUCT(('Projects Overview'!$B$2:$B$5021="Riser Running Tool")*('Projects Overview'!$G$2:$G$5021="Risk Release")*('Projects Overview'!AU$2:AU$5021))</f>
        <v>0</v>
      </c>
      <c r="AM112" s="104" cm="1">
        <f t="array" ref="AM112">SUMPRODUCT(('Projects Overview'!$B$2:$B$5021="Riser Running Tool")*('Projects Overview'!$G$2:$G$5021="Risk Release")*('Projects Overview'!AV$2:AV$5021))</f>
        <v>0</v>
      </c>
    </row>
    <row r="113" spans="1:39" x14ac:dyDescent="0.35">
      <c r="A113" s="222"/>
      <c r="B113" s="228"/>
      <c r="C113" s="3" t="s">
        <v>8</v>
      </c>
      <c r="D113" s="104">
        <v>0</v>
      </c>
      <c r="E113" s="104">
        <v>0</v>
      </c>
      <c r="F113" s="104">
        <v>0</v>
      </c>
      <c r="G113" s="104">
        <v>0</v>
      </c>
      <c r="H113" s="104">
        <v>0</v>
      </c>
      <c r="I113" s="104" cm="1">
        <f t="array" ref="I113">SUMPRODUCT(('Projects Overview'!$B$2:$B$5021="Riser Running Tool")*('Projects Overview'!$G$2:$G$5021="Forecast")*('Projects Overview'!R$2:R$5021))</f>
        <v>0</v>
      </c>
      <c r="J113" s="104" cm="1">
        <f t="array" ref="J113">SUMPRODUCT(('Projects Overview'!$B$2:$B$5021="Riser Running Tool")*('Projects Overview'!$G$2:$G$5021="Forecast")*('Projects Overview'!S$2:S$5021))</f>
        <v>0</v>
      </c>
      <c r="K113" s="104" cm="1">
        <f t="array" ref="K113">SUMPRODUCT(('Projects Overview'!$B$2:$B$5021="Riser Running Tool")*('Projects Overview'!$G$2:$G$5021="Forecast")*('Projects Overview'!T$2:T$5021))</f>
        <v>0</v>
      </c>
      <c r="L113" s="104" cm="1">
        <f t="array" ref="L113">SUMPRODUCT(('Projects Overview'!$B$2:$B$5021="Riser Running Tool")*('Projects Overview'!$G$2:$G$5021="Forecast")*('Projects Overview'!U$2:U$5021))</f>
        <v>0</v>
      </c>
      <c r="M113" s="104" cm="1">
        <f t="array" ref="M113">SUMPRODUCT(('Projects Overview'!$B$2:$B$5021="Riser Running Tool")*('Projects Overview'!$G$2:$G$5021="Forecast")*('Projects Overview'!V$2:V$5021))</f>
        <v>0</v>
      </c>
      <c r="N113" s="104" cm="1">
        <f t="array" ref="N113">SUMPRODUCT(('Projects Overview'!$B$2:$B$5021="Riser Running Tool")*('Projects Overview'!$G$2:$G$5021="Forecast")*('Projects Overview'!W$2:W$5021))</f>
        <v>0</v>
      </c>
      <c r="O113" s="104" cm="1">
        <f t="array" ref="O113">SUMPRODUCT(('Projects Overview'!$B$2:$B$5021="Riser Running Tool")*('Projects Overview'!$G$2:$G$5021="Forecast")*('Projects Overview'!X$2:X$5021))</f>
        <v>0</v>
      </c>
      <c r="P113" s="104" cm="1">
        <f t="array" ref="P113">SUMPRODUCT(('Projects Overview'!$B$2:$B$5021="Riser Running Tool")*('Projects Overview'!$G$2:$G$5021="Forecast")*('Projects Overview'!Y$2:Y$5021))</f>
        <v>0</v>
      </c>
      <c r="Q113" s="104" cm="1">
        <f t="array" ref="Q113">SUMPRODUCT(('Projects Overview'!$B$2:$B$5021="Riser Running Tool")*('Projects Overview'!$G$2:$G$5021="Forecast")*('Projects Overview'!Z$2:Z$5021))</f>
        <v>0</v>
      </c>
      <c r="R113" s="104" cm="1">
        <f t="array" ref="R113">SUMPRODUCT(('Projects Overview'!$B$2:$B$5021="Riser Running Tool")*('Projects Overview'!$G$2:$G$5021="Forecast")*('Projects Overview'!AA$2:AA$5021))</f>
        <v>0</v>
      </c>
      <c r="S113" s="104" cm="1">
        <f t="array" ref="S113">SUMPRODUCT(('Projects Overview'!$B$2:$B$5021="Riser Running Tool")*('Projects Overview'!$G$2:$G$5021="Forecast")*('Projects Overview'!AB$2:AB$5021))</f>
        <v>0</v>
      </c>
      <c r="T113" s="104" cm="1">
        <f t="array" ref="T113">SUMPRODUCT(('Projects Overview'!$B$2:$B$5021="Riser Running Tool")*('Projects Overview'!$G$2:$G$5021="Forecast")*('Projects Overview'!AC$2:AC$5021))</f>
        <v>0</v>
      </c>
      <c r="U113" s="104" cm="1">
        <f t="array" ref="U113">SUMPRODUCT(('Projects Overview'!$B$2:$B$5021="Riser Running Tool")*('Projects Overview'!$G$2:$G$5021="Forecast")*('Projects Overview'!AD$2:AD$5021))</f>
        <v>0</v>
      </c>
      <c r="V113" s="104" cm="1">
        <f t="array" ref="V113">SUMPRODUCT(('Projects Overview'!$B$2:$B$5021="Riser Running Tool")*('Projects Overview'!$G$2:$G$5021="Forecast")*('Projects Overview'!AE$2:AE$5021))</f>
        <v>0</v>
      </c>
      <c r="W113" s="104" cm="1">
        <f t="array" ref="W113">SUMPRODUCT(('Projects Overview'!$B$2:$B$5021="Riser Running Tool")*('Projects Overview'!$G$2:$G$5021="Forecast")*('Projects Overview'!AF$2:AF$5021))</f>
        <v>0</v>
      </c>
      <c r="X113" s="104" cm="1">
        <f t="array" ref="X113">SUMPRODUCT(('Projects Overview'!$B$2:$B$5021="Riser Running Tool")*('Projects Overview'!$G$2:$G$5021="Forecast")*('Projects Overview'!AG$2:AG$5021))</f>
        <v>0</v>
      </c>
      <c r="Y113" s="104" cm="1">
        <f t="array" ref="Y113">SUMPRODUCT(('Projects Overview'!$B$2:$B$5021="Riser Running Tool")*('Projects Overview'!$G$2:$G$5021="Forecast")*('Projects Overview'!AH$2:AH$5021))</f>
        <v>0</v>
      </c>
      <c r="Z113" s="104" cm="1">
        <f t="array" ref="Z113">SUMPRODUCT(('Projects Overview'!$B$2:$B$5021="Riser Running Tool")*('Projects Overview'!$G$2:$G$5021="Forecast")*('Projects Overview'!AI$2:AI$5021))</f>
        <v>0</v>
      </c>
      <c r="AA113" s="104" cm="1">
        <f t="array" ref="AA113">SUMPRODUCT(('Projects Overview'!$B$2:$B$5021="Riser Running Tool")*('Projects Overview'!$G$2:$G$5021="Forecast")*('Projects Overview'!AJ$2:AJ$5021))</f>
        <v>0</v>
      </c>
      <c r="AB113" s="104" cm="1">
        <f t="array" ref="AB113">SUMPRODUCT(('Projects Overview'!$B$2:$B$5021="Riser Running Tool")*('Projects Overview'!$G$2:$G$5021="Forecast")*('Projects Overview'!AK$2:AK$5021))</f>
        <v>0</v>
      </c>
      <c r="AC113" s="104" cm="1">
        <f t="array" ref="AC113">SUMPRODUCT(('Projects Overview'!$B$2:$B$5021="Riser Running Tool")*('Projects Overview'!$G$2:$G$5021="Forecast")*('Projects Overview'!AL$2:AL$5021))</f>
        <v>0</v>
      </c>
      <c r="AD113" s="104" cm="1">
        <f t="array" ref="AD113">SUMPRODUCT(('Projects Overview'!$B$2:$B$5021="Riser Running Tool")*('Projects Overview'!$G$2:$G$5021="Forecast")*('Projects Overview'!AM$2:AM$5021))</f>
        <v>0</v>
      </c>
      <c r="AE113" s="104" cm="1">
        <f t="array" ref="AE113">SUMPRODUCT(('Projects Overview'!$B$2:$B$5021="Riser Running Tool")*('Projects Overview'!$G$2:$G$5021="Forecast")*('Projects Overview'!AN$2:AN$5021))</f>
        <v>0</v>
      </c>
      <c r="AF113" s="104" cm="1">
        <f t="array" ref="AF113">SUMPRODUCT(('Projects Overview'!$B$2:$B$5021="Riser Running Tool")*('Projects Overview'!$G$2:$G$5021="Forecast")*('Projects Overview'!AO$2:AO$5021))</f>
        <v>0</v>
      </c>
      <c r="AG113" s="104" cm="1">
        <f t="array" ref="AG113">SUMPRODUCT(('Projects Overview'!$B$2:$B$5021="Riser Running Tool")*('Projects Overview'!$G$2:$G$5021="Forecast")*('Projects Overview'!AP$2:AP$5021))</f>
        <v>0</v>
      </c>
      <c r="AH113" s="104" cm="1">
        <f t="array" ref="AH113">SUMPRODUCT(('Projects Overview'!$B$2:$B$5021="Riser Running Tool")*('Projects Overview'!$G$2:$G$5021="Forecast")*('Projects Overview'!AQ$2:AQ$5021))</f>
        <v>0</v>
      </c>
      <c r="AI113" s="104" cm="1">
        <f t="array" ref="AI113">SUMPRODUCT(('Projects Overview'!$B$2:$B$5021="Riser Running Tool")*('Projects Overview'!$G$2:$G$5021="Forecast")*('Projects Overview'!AR$2:AR$5021))</f>
        <v>0</v>
      </c>
      <c r="AJ113" s="104" cm="1">
        <f t="array" ref="AJ113">SUMPRODUCT(('Projects Overview'!$B$2:$B$5021="Riser Running Tool")*('Projects Overview'!$G$2:$G$5021="Forecast")*('Projects Overview'!AS$2:AS$5021))</f>
        <v>0</v>
      </c>
      <c r="AK113" s="104" cm="1">
        <f t="array" ref="AK113">SUMPRODUCT(('Projects Overview'!$B$2:$B$5021="Riser Running Tool")*('Projects Overview'!$G$2:$G$5021="Forecast")*('Projects Overview'!AT$2:AT$5021))</f>
        <v>0</v>
      </c>
      <c r="AL113" s="104" cm="1">
        <f t="array" ref="AL113">SUMPRODUCT(('Projects Overview'!$B$2:$B$5021="Riser Running Tool")*('Projects Overview'!$G$2:$G$5021="Forecast")*('Projects Overview'!AU$2:AU$5021))</f>
        <v>0</v>
      </c>
      <c r="AM113" s="104" cm="1">
        <f t="array" ref="AM113">SUMPRODUCT(('Projects Overview'!$B$2:$B$5021="Riser Running Tool")*('Projects Overview'!$G$2:$G$5021="Forecast")*('Projects Overview'!AV$2:AV$5021))</f>
        <v>0</v>
      </c>
    </row>
    <row r="114" spans="1:39" x14ac:dyDescent="0.35">
      <c r="A114" s="222"/>
      <c r="B114" s="227" t="s">
        <v>166</v>
      </c>
      <c r="C114" s="4" t="s">
        <v>4</v>
      </c>
      <c r="D114" s="104">
        <v>0</v>
      </c>
      <c r="E114" s="104">
        <v>0</v>
      </c>
      <c r="F114" s="104">
        <v>0</v>
      </c>
      <c r="G114" s="104">
        <v>0</v>
      </c>
      <c r="H114" s="104">
        <v>0</v>
      </c>
      <c r="I114" s="104" cm="1">
        <f t="array" ref="I114">SUMPRODUCT(('Projects Overview'!$B$2:$B$5021="Gas Handler")*('Projects Overview'!$G$2:$G$5021="Firm")*('Projects Overview'!R$2:R$5021))</f>
        <v>0</v>
      </c>
      <c r="J114" s="104" cm="1">
        <f t="array" ref="J114">SUMPRODUCT(('Projects Overview'!$B$2:$B$5021="Gas Handler")*('Projects Overview'!$G$2:$G$5021="Firm")*('Projects Overview'!S$2:S$5021))</f>
        <v>574</v>
      </c>
      <c r="K114" s="104" cm="1">
        <f t="array" ref="K114">SUMPRODUCT(('Projects Overview'!$B$2:$B$5021="Gas Handler")*('Projects Overview'!$G$2:$G$5021="Firm")*('Projects Overview'!T$2:T$5021))</f>
        <v>200</v>
      </c>
      <c r="L114" s="104" cm="1">
        <f t="array" ref="L114">SUMPRODUCT(('Projects Overview'!$B$2:$B$5021="Gas Handler")*('Projects Overview'!$G$2:$G$5021="Firm")*('Projects Overview'!U$2:U$5021))</f>
        <v>0</v>
      </c>
      <c r="M114" s="104" cm="1">
        <f t="array" ref="M114">SUMPRODUCT(('Projects Overview'!$B$2:$B$5021="Gas Handler")*('Projects Overview'!$G$2:$G$5021="Firm")*('Projects Overview'!V$2:V$5021))</f>
        <v>0</v>
      </c>
      <c r="N114" s="104" cm="1">
        <f t="array" ref="N114">SUMPRODUCT(('Projects Overview'!$B$2:$B$5021="Gas Handler")*('Projects Overview'!$G$2:$G$5021="Firm")*('Projects Overview'!W$2:W$5021))</f>
        <v>0</v>
      </c>
      <c r="O114" s="104" cm="1">
        <f t="array" ref="O114">SUMPRODUCT(('Projects Overview'!$B$2:$B$5021="Gas Handler")*('Projects Overview'!$G$2:$G$5021="Firm")*('Projects Overview'!X$2:X$5021))</f>
        <v>0</v>
      </c>
      <c r="P114" s="104" cm="1">
        <f t="array" ref="P114">SUMPRODUCT(('Projects Overview'!$B$2:$B$5021="Gas Handler")*('Projects Overview'!$G$2:$G$5021="Firm")*('Projects Overview'!Y$2:Y$5021))</f>
        <v>0</v>
      </c>
      <c r="Q114" s="104" cm="1">
        <f t="array" ref="Q114">SUMPRODUCT(('Projects Overview'!$B$2:$B$5021="Gas Handler")*('Projects Overview'!$G$2:$G$5021="Firm")*('Projects Overview'!Z$2:Z$5021))</f>
        <v>0</v>
      </c>
      <c r="R114" s="104" cm="1">
        <f t="array" ref="R114">SUMPRODUCT(('Projects Overview'!$B$2:$B$5021="Gas Handler")*('Projects Overview'!$G$2:$G$5021="Firm")*('Projects Overview'!AA$2:AA$5021))</f>
        <v>0</v>
      </c>
      <c r="S114" s="104" cm="1">
        <f t="array" ref="S114">SUMPRODUCT(('Projects Overview'!$B$2:$B$5021="Gas Handler")*('Projects Overview'!$G$2:$G$5021="Firm")*('Projects Overview'!AB$2:AB$5021))</f>
        <v>0</v>
      </c>
      <c r="T114" s="104" cm="1">
        <f t="array" ref="T114">SUMPRODUCT(('Projects Overview'!$B$2:$B$5021="Gas Handler")*('Projects Overview'!$G$2:$G$5021="Firm")*('Projects Overview'!AC$2:AC$5021))</f>
        <v>0</v>
      </c>
      <c r="U114" s="104" cm="1">
        <f t="array" ref="U114">SUMPRODUCT(('Projects Overview'!$B$2:$B$5021="Gas Handler")*('Projects Overview'!$G$2:$G$5021="Firm")*('Projects Overview'!AD$2:AD$5021))</f>
        <v>0</v>
      </c>
      <c r="V114" s="104" cm="1">
        <f t="array" ref="V114">SUMPRODUCT(('Projects Overview'!$B$2:$B$5021="Gas Handler")*('Projects Overview'!$G$2:$G$5021="Firm")*('Projects Overview'!AE$2:AE$5021))</f>
        <v>0</v>
      </c>
      <c r="W114" s="104" cm="1">
        <f t="array" ref="W114">SUMPRODUCT(('Projects Overview'!$B$2:$B$5021="Gas Handler")*('Projects Overview'!$G$2:$G$5021="Firm")*('Projects Overview'!AF$2:AF$5021))</f>
        <v>0</v>
      </c>
      <c r="X114" s="104" cm="1">
        <f t="array" ref="X114">SUMPRODUCT(('Projects Overview'!$B$2:$B$5021="Gas Handler")*('Projects Overview'!$G$2:$G$5021="Firm")*('Projects Overview'!AG$2:AG$5021))</f>
        <v>0</v>
      </c>
      <c r="Y114" s="104" cm="1">
        <f t="array" ref="Y114">SUMPRODUCT(('Projects Overview'!$B$2:$B$5021="Gas Handler")*('Projects Overview'!$G$2:$G$5021="Firm")*('Projects Overview'!AH$2:AH$5021))</f>
        <v>0</v>
      </c>
      <c r="Z114" s="104" cm="1">
        <f t="array" ref="Z114">SUMPRODUCT(('Projects Overview'!$B$2:$B$5021="Gas Handler")*('Projects Overview'!$G$2:$G$5021="Firm")*('Projects Overview'!AI$2:AI$5021))</f>
        <v>0</v>
      </c>
      <c r="AA114" s="104" cm="1">
        <f t="array" ref="AA114">SUMPRODUCT(('Projects Overview'!$B$2:$B$5021="Gas Handler")*('Projects Overview'!$G$2:$G$5021="Firm")*('Projects Overview'!AJ$2:AJ$5021))</f>
        <v>0</v>
      </c>
      <c r="AB114" s="104" cm="1">
        <f t="array" ref="AB114">SUMPRODUCT(('Projects Overview'!$B$2:$B$5021="Gas Handler")*('Projects Overview'!$G$2:$G$5021="Firm")*('Projects Overview'!AK$2:AK$5021))</f>
        <v>0</v>
      </c>
      <c r="AC114" s="104" cm="1">
        <f t="array" ref="AC114">SUMPRODUCT(('Projects Overview'!$B$2:$B$5021="Gas Handler")*('Projects Overview'!$G$2:$G$5021="Firm")*('Projects Overview'!AL$2:AL$5021))</f>
        <v>0</v>
      </c>
      <c r="AD114" s="104" cm="1">
        <f t="array" ref="AD114">SUMPRODUCT(('Projects Overview'!$B$2:$B$5021="Gas Handler")*('Projects Overview'!$G$2:$G$5021="Firm")*('Projects Overview'!AM$2:AM$5021))</f>
        <v>0</v>
      </c>
      <c r="AE114" s="104" cm="1">
        <f t="array" ref="AE114">SUMPRODUCT(('Projects Overview'!$B$2:$B$5021="Gas Handler")*('Projects Overview'!$G$2:$G$5021="Firm")*('Projects Overview'!AN$2:AN$5021))</f>
        <v>0</v>
      </c>
      <c r="AF114" s="104" cm="1">
        <f t="array" ref="AF114">SUMPRODUCT(('Projects Overview'!$B$2:$B$5021="Gas Handler")*('Projects Overview'!$G$2:$G$5021="Firm")*('Projects Overview'!AO$2:AO$5021))</f>
        <v>0</v>
      </c>
      <c r="AG114" s="104" cm="1">
        <f t="array" ref="AG114">SUMPRODUCT(('Projects Overview'!$B$2:$B$5021="Gas Handler")*('Projects Overview'!$G$2:$G$5021="Firm")*('Projects Overview'!AP$2:AP$5021))</f>
        <v>0</v>
      </c>
      <c r="AH114" s="104" cm="1">
        <f t="array" ref="AH114">SUMPRODUCT(('Projects Overview'!$B$2:$B$5021="Gas Handler")*('Projects Overview'!$G$2:$G$5021="Firm")*('Projects Overview'!AQ$2:AQ$5021))</f>
        <v>0</v>
      </c>
      <c r="AI114" s="104" cm="1">
        <f t="array" ref="AI114">SUMPRODUCT(('Projects Overview'!$B$2:$B$5021="Gas Handler")*('Projects Overview'!$G$2:$G$5021="Firm")*('Projects Overview'!AR$2:AR$5021))</f>
        <v>0</v>
      </c>
      <c r="AJ114" s="104" cm="1">
        <f t="array" ref="AJ114">SUMPRODUCT(('Projects Overview'!$B$2:$B$5021="Gas Handler")*('Projects Overview'!$G$2:$G$5021="Firm")*('Projects Overview'!AS$2:AS$5021))</f>
        <v>0</v>
      </c>
      <c r="AK114" s="104" cm="1">
        <f t="array" ref="AK114">SUMPRODUCT(('Projects Overview'!$B$2:$B$5021="Gas Handler")*('Projects Overview'!$G$2:$G$5021="Firm")*('Projects Overview'!AT$2:AT$5021))</f>
        <v>0</v>
      </c>
      <c r="AL114" s="104" cm="1">
        <f t="array" ref="AL114">SUMPRODUCT(('Projects Overview'!$B$2:$B$5021="Gas Handler")*('Projects Overview'!$G$2:$G$5021="Firm")*('Projects Overview'!AU$2:AU$5021))</f>
        <v>0</v>
      </c>
      <c r="AM114" s="104" cm="1">
        <f t="array" ref="AM114">SUMPRODUCT(('Projects Overview'!$B$2:$B$5021="Gas Handler")*('Projects Overview'!$G$2:$G$5021="Firm")*('Projects Overview'!AV$2:AV$5021))</f>
        <v>0</v>
      </c>
    </row>
    <row r="115" spans="1:39" x14ac:dyDescent="0.35">
      <c r="A115" s="222"/>
      <c r="B115" s="227"/>
      <c r="C115" s="2" t="s">
        <v>6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 cm="1">
        <f t="array" ref="I115">SUMPRODUCT(('Projects Overview'!$B$2:$B$5021="Gas Handler")*('Projects Overview'!$G$2:$G$5021="Risk Release")*('Projects Overview'!R$2:R$5021))</f>
        <v>0</v>
      </c>
      <c r="J115" s="104" cm="1">
        <f t="array" ref="J115">SUMPRODUCT(('Projects Overview'!$B$2:$B$5021="Gas Handler")*('Projects Overview'!$G$2:$G$5021="Risk Release")*('Projects Overview'!S$2:S$5021))</f>
        <v>0</v>
      </c>
      <c r="K115" s="104" cm="1">
        <f t="array" ref="K115">SUMPRODUCT(('Projects Overview'!$B$2:$B$5021="Gas Handler")*('Projects Overview'!$G$2:$G$5021="Risk Release")*('Projects Overview'!T$2:T$5021))</f>
        <v>0</v>
      </c>
      <c r="L115" s="104" cm="1">
        <f t="array" ref="L115">SUMPRODUCT(('Projects Overview'!$B$2:$B$5021="Gas Handler")*('Projects Overview'!$G$2:$G$5021="Risk Release")*('Projects Overview'!U$2:U$5021))</f>
        <v>0</v>
      </c>
      <c r="M115" s="104" cm="1">
        <f t="array" ref="M115">SUMPRODUCT(('Projects Overview'!$B$2:$B$5021="Gas Handler")*('Projects Overview'!$G$2:$G$5021="Risk Release")*('Projects Overview'!V$2:V$5021))</f>
        <v>0</v>
      </c>
      <c r="N115" s="104" cm="1">
        <f t="array" ref="N115">SUMPRODUCT(('Projects Overview'!$B$2:$B$5021="Gas Handler")*('Projects Overview'!$G$2:$G$5021="Risk Release")*('Projects Overview'!W$2:W$5021))</f>
        <v>0</v>
      </c>
      <c r="O115" s="104" cm="1">
        <f t="array" ref="O115">SUMPRODUCT(('Projects Overview'!$B$2:$B$5021="Gas Handler")*('Projects Overview'!$G$2:$G$5021="Risk Release")*('Projects Overview'!X$2:X$5021))</f>
        <v>0</v>
      </c>
      <c r="P115" s="104" cm="1">
        <f t="array" ref="P115">SUMPRODUCT(('Projects Overview'!$B$2:$B$5021="Gas Handler")*('Projects Overview'!$G$2:$G$5021="Risk Release")*('Projects Overview'!Y$2:Y$5021))</f>
        <v>0</v>
      </c>
      <c r="Q115" s="104" cm="1">
        <f t="array" ref="Q115">SUMPRODUCT(('Projects Overview'!$B$2:$B$5021="Gas Handler")*('Projects Overview'!$G$2:$G$5021="Risk Release")*('Projects Overview'!Z$2:Z$5021))</f>
        <v>0</v>
      </c>
      <c r="R115" s="104" cm="1">
        <f t="array" ref="R115">SUMPRODUCT(('Projects Overview'!$B$2:$B$5021="Gas Handler")*('Projects Overview'!$G$2:$G$5021="Risk Release")*('Projects Overview'!AA$2:AA$5021))</f>
        <v>0</v>
      </c>
      <c r="S115" s="104" cm="1">
        <f t="array" ref="S115">SUMPRODUCT(('Projects Overview'!$B$2:$B$5021="Gas Handler")*('Projects Overview'!$G$2:$G$5021="Risk Release")*('Projects Overview'!AB$2:AB$5021))</f>
        <v>0</v>
      </c>
      <c r="T115" s="104" cm="1">
        <f t="array" ref="T115">SUMPRODUCT(('Projects Overview'!$B$2:$B$5021="Gas Handler")*('Projects Overview'!$G$2:$G$5021="Risk Release")*('Projects Overview'!AC$2:AC$5021))</f>
        <v>0</v>
      </c>
      <c r="U115" s="104" cm="1">
        <f t="array" ref="U115">SUMPRODUCT(('Projects Overview'!$B$2:$B$5021="Gas Handler")*('Projects Overview'!$G$2:$G$5021="Risk Release")*('Projects Overview'!AD$2:AD$5021))</f>
        <v>0</v>
      </c>
      <c r="V115" s="104" cm="1">
        <f t="array" ref="V115">SUMPRODUCT(('Projects Overview'!$B$2:$B$5021="Gas Handler")*('Projects Overview'!$G$2:$G$5021="Risk Release")*('Projects Overview'!AE$2:AE$5021))</f>
        <v>0</v>
      </c>
      <c r="W115" s="104" cm="1">
        <f t="array" ref="W115">SUMPRODUCT(('Projects Overview'!$B$2:$B$5021="Gas Handler")*('Projects Overview'!$G$2:$G$5021="Risk Release")*('Projects Overview'!AF$2:AF$5021))</f>
        <v>0</v>
      </c>
      <c r="X115" s="104" cm="1">
        <f t="array" ref="X115">SUMPRODUCT(('Projects Overview'!$B$2:$B$5021="Gas Handler")*('Projects Overview'!$G$2:$G$5021="Risk Release")*('Projects Overview'!AG$2:AG$5021))</f>
        <v>0</v>
      </c>
      <c r="Y115" s="104" cm="1">
        <f t="array" ref="Y115">SUMPRODUCT(('Projects Overview'!$B$2:$B$5021="Gas Handler")*('Projects Overview'!$G$2:$G$5021="Risk Release")*('Projects Overview'!AH$2:AH$5021))</f>
        <v>0</v>
      </c>
      <c r="Z115" s="104" cm="1">
        <f t="array" ref="Z115">SUMPRODUCT(('Projects Overview'!$B$2:$B$5021="Gas Handler")*('Projects Overview'!$G$2:$G$5021="Risk Release")*('Projects Overview'!AI$2:AI$5021))</f>
        <v>0</v>
      </c>
      <c r="AA115" s="104" cm="1">
        <f t="array" ref="AA115">SUMPRODUCT(('Projects Overview'!$B$2:$B$5021="Gas Handler")*('Projects Overview'!$G$2:$G$5021="Risk Release")*('Projects Overview'!AJ$2:AJ$5021))</f>
        <v>0</v>
      </c>
      <c r="AB115" s="104" cm="1">
        <f t="array" ref="AB115">SUMPRODUCT(('Projects Overview'!$B$2:$B$5021="Gas Handler")*('Projects Overview'!$G$2:$G$5021="Risk Release")*('Projects Overview'!AK$2:AK$5021))</f>
        <v>0</v>
      </c>
      <c r="AC115" s="104" cm="1">
        <f t="array" ref="AC115">SUMPRODUCT(('Projects Overview'!$B$2:$B$5021="Gas Handler")*('Projects Overview'!$G$2:$G$5021="Risk Release")*('Projects Overview'!AL$2:AL$5021))</f>
        <v>0</v>
      </c>
      <c r="AD115" s="104" cm="1">
        <f t="array" ref="AD115">SUMPRODUCT(('Projects Overview'!$B$2:$B$5021="Gas Handler")*('Projects Overview'!$G$2:$G$5021="Risk Release")*('Projects Overview'!AM$2:AM$5021))</f>
        <v>0</v>
      </c>
      <c r="AE115" s="104" cm="1">
        <f t="array" ref="AE115">SUMPRODUCT(('Projects Overview'!$B$2:$B$5021="Gas Handler")*('Projects Overview'!$G$2:$G$5021="Risk Release")*('Projects Overview'!AN$2:AN$5021))</f>
        <v>0</v>
      </c>
      <c r="AF115" s="104" cm="1">
        <f t="array" ref="AF115">SUMPRODUCT(('Projects Overview'!$B$2:$B$5021="Gas Handler")*('Projects Overview'!$G$2:$G$5021="Risk Release")*('Projects Overview'!AO$2:AO$5021))</f>
        <v>0</v>
      </c>
      <c r="AG115" s="104" cm="1">
        <f t="array" ref="AG115">SUMPRODUCT(('Projects Overview'!$B$2:$B$5021="Gas Handler")*('Projects Overview'!$G$2:$G$5021="Risk Release")*('Projects Overview'!AP$2:AP$5021))</f>
        <v>0</v>
      </c>
      <c r="AH115" s="104" cm="1">
        <f t="array" ref="AH115">SUMPRODUCT(('Projects Overview'!$B$2:$B$5021="Gas Handler")*('Projects Overview'!$G$2:$G$5021="Risk Release")*('Projects Overview'!AQ$2:AQ$5021))</f>
        <v>0</v>
      </c>
      <c r="AI115" s="104" cm="1">
        <f t="array" ref="AI115">SUMPRODUCT(('Projects Overview'!$B$2:$B$5021="Gas Handler")*('Projects Overview'!$G$2:$G$5021="Risk Release")*('Projects Overview'!AR$2:AR$5021))</f>
        <v>0</v>
      </c>
      <c r="AJ115" s="104" cm="1">
        <f t="array" ref="AJ115">SUMPRODUCT(('Projects Overview'!$B$2:$B$5021="Gas Handler")*('Projects Overview'!$G$2:$G$5021="Risk Release")*('Projects Overview'!AS$2:AS$5021))</f>
        <v>0</v>
      </c>
      <c r="AK115" s="104" cm="1">
        <f t="array" ref="AK115">SUMPRODUCT(('Projects Overview'!$B$2:$B$5021="Gas Handler")*('Projects Overview'!$G$2:$G$5021="Risk Release")*('Projects Overview'!AT$2:AT$5021))</f>
        <v>0</v>
      </c>
      <c r="AL115" s="104" cm="1">
        <f t="array" ref="AL115">SUMPRODUCT(('Projects Overview'!$B$2:$B$5021="Gas Handler")*('Projects Overview'!$G$2:$G$5021="Risk Release")*('Projects Overview'!AU$2:AU$5021))</f>
        <v>0</v>
      </c>
      <c r="AM115" s="104" cm="1">
        <f t="array" ref="AM115">SUMPRODUCT(('Projects Overview'!$B$2:$B$5021="Gas Handler")*('Projects Overview'!$G$2:$G$5021="Risk Release")*('Projects Overview'!AV$2:AV$5021))</f>
        <v>0</v>
      </c>
    </row>
    <row r="116" spans="1:39" x14ac:dyDescent="0.35">
      <c r="A116" s="222"/>
      <c r="B116" s="228"/>
      <c r="C116" s="3" t="s">
        <v>8</v>
      </c>
      <c r="D116" s="104">
        <v>0</v>
      </c>
      <c r="E116" s="104">
        <v>0</v>
      </c>
      <c r="F116" s="104">
        <v>0</v>
      </c>
      <c r="G116" s="104">
        <v>0</v>
      </c>
      <c r="H116" s="104">
        <v>0</v>
      </c>
      <c r="I116" s="104" cm="1">
        <f t="array" ref="I116">SUMPRODUCT(('Projects Overview'!$B$2:$B$5021="Gas Handler")*('Projects Overview'!$G$2:$G$5021="Forecast")*('Projects Overview'!R$2:R$5021))</f>
        <v>0</v>
      </c>
      <c r="J116" s="104" cm="1">
        <f t="array" ref="J116">SUMPRODUCT(('Projects Overview'!$B$2:$B$5021="Gas Handler")*('Projects Overview'!$G$2:$G$5021="Forecast")*('Projects Overview'!S$2:S$5021))</f>
        <v>0</v>
      </c>
      <c r="K116" s="104" cm="1">
        <f t="array" ref="K116">SUMPRODUCT(('Projects Overview'!$B$2:$B$5021="Gas Handler")*('Projects Overview'!$G$2:$G$5021="Forecast")*('Projects Overview'!T$2:T$5021))</f>
        <v>0</v>
      </c>
      <c r="L116" s="104" cm="1">
        <f t="array" ref="L116">SUMPRODUCT(('Projects Overview'!$B$2:$B$5021="Gas Handler")*('Projects Overview'!$G$2:$G$5021="Forecast")*('Projects Overview'!U$2:U$5021))</f>
        <v>0</v>
      </c>
      <c r="M116" s="104" cm="1">
        <f t="array" ref="M116">SUMPRODUCT(('Projects Overview'!$B$2:$B$5021="Gas Handler")*('Projects Overview'!$G$2:$G$5021="Forecast")*('Projects Overview'!V$2:V$5021))</f>
        <v>0</v>
      </c>
      <c r="N116" s="104" cm="1">
        <f t="array" ref="N116">SUMPRODUCT(('Projects Overview'!$B$2:$B$5021="Gas Handler")*('Projects Overview'!$G$2:$G$5021="Forecast")*('Projects Overview'!W$2:W$5021))</f>
        <v>0</v>
      </c>
      <c r="O116" s="104" cm="1">
        <f t="array" ref="O116">SUMPRODUCT(('Projects Overview'!$B$2:$B$5021="Gas Handler")*('Projects Overview'!$G$2:$G$5021="Forecast")*('Projects Overview'!X$2:X$5021))</f>
        <v>0</v>
      </c>
      <c r="P116" s="104" cm="1">
        <f t="array" ref="P116">SUMPRODUCT(('Projects Overview'!$B$2:$B$5021="Gas Handler")*('Projects Overview'!$G$2:$G$5021="Forecast")*('Projects Overview'!Y$2:Y$5021))</f>
        <v>0</v>
      </c>
      <c r="Q116" s="104" cm="1">
        <f t="array" ref="Q116">SUMPRODUCT(('Projects Overview'!$B$2:$B$5021="Gas Handler")*('Projects Overview'!$G$2:$G$5021="Forecast")*('Projects Overview'!Z$2:Z$5021))</f>
        <v>0</v>
      </c>
      <c r="R116" s="104" cm="1">
        <f t="array" ref="R116">SUMPRODUCT(('Projects Overview'!$B$2:$B$5021="Gas Handler")*('Projects Overview'!$G$2:$G$5021="Forecast")*('Projects Overview'!AA$2:AA$5021))</f>
        <v>0</v>
      </c>
      <c r="S116" s="104" cm="1">
        <f t="array" ref="S116">SUMPRODUCT(('Projects Overview'!$B$2:$B$5021="Gas Handler")*('Projects Overview'!$G$2:$G$5021="Forecast")*('Projects Overview'!AB$2:AB$5021))</f>
        <v>0</v>
      </c>
      <c r="T116" s="104" cm="1">
        <f t="array" ref="T116">SUMPRODUCT(('Projects Overview'!$B$2:$B$5021="Gas Handler")*('Projects Overview'!$G$2:$G$5021="Forecast")*('Projects Overview'!AC$2:AC$5021))</f>
        <v>0</v>
      </c>
      <c r="U116" s="104" cm="1">
        <f t="array" ref="U116">SUMPRODUCT(('Projects Overview'!$B$2:$B$5021="Gas Handler")*('Projects Overview'!$G$2:$G$5021="Forecast")*('Projects Overview'!AD$2:AD$5021))</f>
        <v>0</v>
      </c>
      <c r="V116" s="104" cm="1">
        <f t="array" ref="V116">SUMPRODUCT(('Projects Overview'!$B$2:$B$5021="Gas Handler")*('Projects Overview'!$G$2:$G$5021="Forecast")*('Projects Overview'!AE$2:AE$5021))</f>
        <v>0</v>
      </c>
      <c r="W116" s="104" cm="1">
        <f t="array" ref="W116">SUMPRODUCT(('Projects Overview'!$B$2:$B$5021="Gas Handler")*('Projects Overview'!$G$2:$G$5021="Forecast")*('Projects Overview'!AF$2:AF$5021))</f>
        <v>0</v>
      </c>
      <c r="X116" s="104" cm="1">
        <f t="array" ref="X116">SUMPRODUCT(('Projects Overview'!$B$2:$B$5021="Gas Handler")*('Projects Overview'!$G$2:$G$5021="Forecast")*('Projects Overview'!AG$2:AG$5021))</f>
        <v>0</v>
      </c>
      <c r="Y116" s="104" cm="1">
        <f t="array" ref="Y116">SUMPRODUCT(('Projects Overview'!$B$2:$B$5021="Gas Handler")*('Projects Overview'!$G$2:$G$5021="Forecast")*('Projects Overview'!AH$2:AH$5021))</f>
        <v>0</v>
      </c>
      <c r="Z116" s="104" cm="1">
        <f t="array" ref="Z116">SUMPRODUCT(('Projects Overview'!$B$2:$B$5021="Gas Handler")*('Projects Overview'!$G$2:$G$5021="Forecast")*('Projects Overview'!AI$2:AI$5021))</f>
        <v>0</v>
      </c>
      <c r="AA116" s="104" cm="1">
        <f t="array" ref="AA116">SUMPRODUCT(('Projects Overview'!$B$2:$B$5021="Gas Handler")*('Projects Overview'!$G$2:$G$5021="Forecast")*('Projects Overview'!AJ$2:AJ$5021))</f>
        <v>0</v>
      </c>
      <c r="AB116" s="104" cm="1">
        <f t="array" ref="AB116">SUMPRODUCT(('Projects Overview'!$B$2:$B$5021="Gas Handler")*('Projects Overview'!$G$2:$G$5021="Forecast")*('Projects Overview'!AK$2:AK$5021))</f>
        <v>0</v>
      </c>
      <c r="AC116" s="104" cm="1">
        <f t="array" ref="AC116">SUMPRODUCT(('Projects Overview'!$B$2:$B$5021="Gas Handler")*('Projects Overview'!$G$2:$G$5021="Forecast")*('Projects Overview'!AL$2:AL$5021))</f>
        <v>0</v>
      </c>
      <c r="AD116" s="104" cm="1">
        <f t="array" ref="AD116">SUMPRODUCT(('Projects Overview'!$B$2:$B$5021="Gas Handler")*('Projects Overview'!$G$2:$G$5021="Forecast")*('Projects Overview'!AM$2:AM$5021))</f>
        <v>0</v>
      </c>
      <c r="AE116" s="104" cm="1">
        <f t="array" ref="AE116">SUMPRODUCT(('Projects Overview'!$B$2:$B$5021="Gas Handler")*('Projects Overview'!$G$2:$G$5021="Forecast")*('Projects Overview'!AN$2:AN$5021))</f>
        <v>0</v>
      </c>
      <c r="AF116" s="104" cm="1">
        <f t="array" ref="AF116">SUMPRODUCT(('Projects Overview'!$B$2:$B$5021="Gas Handler")*('Projects Overview'!$G$2:$G$5021="Forecast")*('Projects Overview'!AO$2:AO$5021))</f>
        <v>0</v>
      </c>
      <c r="AG116" s="104" cm="1">
        <f t="array" ref="AG116">SUMPRODUCT(('Projects Overview'!$B$2:$B$5021="Gas Handler")*('Projects Overview'!$G$2:$G$5021="Forecast")*('Projects Overview'!AP$2:AP$5021))</f>
        <v>0</v>
      </c>
      <c r="AH116" s="104" cm="1">
        <f t="array" ref="AH116">SUMPRODUCT(('Projects Overview'!$B$2:$B$5021="Gas Handler")*('Projects Overview'!$G$2:$G$5021="Forecast")*('Projects Overview'!AQ$2:AQ$5021))</f>
        <v>0</v>
      </c>
      <c r="AI116" s="104" cm="1">
        <f t="array" ref="AI116">SUMPRODUCT(('Projects Overview'!$B$2:$B$5021="Gas Handler")*('Projects Overview'!$G$2:$G$5021="Forecast")*('Projects Overview'!AR$2:AR$5021))</f>
        <v>0</v>
      </c>
      <c r="AJ116" s="104" cm="1">
        <f t="array" ref="AJ116">SUMPRODUCT(('Projects Overview'!$B$2:$B$5021="Gas Handler")*('Projects Overview'!$G$2:$G$5021="Forecast")*('Projects Overview'!AS$2:AS$5021))</f>
        <v>0</v>
      </c>
      <c r="AK116" s="104" cm="1">
        <f t="array" ref="AK116">SUMPRODUCT(('Projects Overview'!$B$2:$B$5021="Gas Handler")*('Projects Overview'!$G$2:$G$5021="Forecast")*('Projects Overview'!AT$2:AT$5021))</f>
        <v>0</v>
      </c>
      <c r="AL116" s="104" cm="1">
        <f t="array" ref="AL116">SUMPRODUCT(('Projects Overview'!$B$2:$B$5021="Gas Handler")*('Projects Overview'!$G$2:$G$5021="Forecast")*('Projects Overview'!AU$2:AU$5021))</f>
        <v>0</v>
      </c>
      <c r="AM116" s="104" cm="1">
        <f t="array" ref="AM116">SUMPRODUCT(('Projects Overview'!$B$2:$B$5021="Gas Handler")*('Projects Overview'!$G$2:$G$5021="Forecast")*('Projects Overview'!AV$2:AV$5021))</f>
        <v>0</v>
      </c>
    </row>
    <row r="117" spans="1:39" x14ac:dyDescent="0.35">
      <c r="A117" s="222"/>
      <c r="B117" s="227" t="s">
        <v>168</v>
      </c>
      <c r="C117" s="4" t="s">
        <v>4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 cm="1">
        <f t="array" ref="I117">SUMPRODUCT(('Projects Overview'!$B$2:$B$5021="Goosenecks")*('Projects Overview'!$G$2:$G$5021="Firm")*('Projects Overview'!R$2:R$5021))</f>
        <v>0</v>
      </c>
      <c r="J117" s="104" cm="1">
        <f t="array" ref="J117">SUMPRODUCT(('Projects Overview'!$B$2:$B$5021="Goosenecks")*('Projects Overview'!$G$2:$G$5021="Firm")*('Projects Overview'!S$2:S$5021))</f>
        <v>0</v>
      </c>
      <c r="K117" s="104" cm="1">
        <f t="array" ref="K117">SUMPRODUCT(('Projects Overview'!$B$2:$B$5021="Goosenecks")*('Projects Overview'!$G$2:$G$5021="Firm")*('Projects Overview'!T$2:T$5021))</f>
        <v>0</v>
      </c>
      <c r="L117" s="104" cm="1">
        <f t="array" ref="L117">SUMPRODUCT(('Projects Overview'!$B$2:$B$5021="Goosenecks")*('Projects Overview'!$G$2:$G$5021="Firm")*('Projects Overview'!U$2:U$5021))</f>
        <v>0</v>
      </c>
      <c r="M117" s="104" cm="1">
        <f t="array" ref="M117">SUMPRODUCT(('Projects Overview'!$B$2:$B$5021="Goosenecks")*('Projects Overview'!$G$2:$G$5021="Firm")*('Projects Overview'!V$2:V$5021))</f>
        <v>0</v>
      </c>
      <c r="N117" s="104" cm="1">
        <f t="array" ref="N117">SUMPRODUCT(('Projects Overview'!$B$2:$B$5021="Goosenecks")*('Projects Overview'!$G$2:$G$5021="Firm")*('Projects Overview'!W$2:W$5021))</f>
        <v>0</v>
      </c>
      <c r="O117" s="104" cm="1">
        <f t="array" ref="O117">SUMPRODUCT(('Projects Overview'!$B$2:$B$5021="Goosenecks")*('Projects Overview'!$G$2:$G$5021="Firm")*('Projects Overview'!X$2:X$5021))</f>
        <v>0</v>
      </c>
      <c r="P117" s="104" cm="1">
        <f t="array" ref="P117">SUMPRODUCT(('Projects Overview'!$B$2:$B$5021="Goosenecks")*('Projects Overview'!$G$2:$G$5021="Firm")*('Projects Overview'!Y$2:Y$5021))</f>
        <v>0</v>
      </c>
      <c r="Q117" s="104" cm="1">
        <f t="array" ref="Q117">SUMPRODUCT(('Projects Overview'!$B$2:$B$5021="Goosenecks")*('Projects Overview'!$G$2:$G$5021="Firm")*('Projects Overview'!Z$2:Z$5021))</f>
        <v>0</v>
      </c>
      <c r="R117" s="104" cm="1">
        <f t="array" ref="R117">SUMPRODUCT(('Projects Overview'!$B$2:$B$5021="Goosenecks")*('Projects Overview'!$G$2:$G$5021="Firm")*('Projects Overview'!AA$2:AA$5021))</f>
        <v>0</v>
      </c>
      <c r="S117" s="104" cm="1">
        <f t="array" ref="S117">SUMPRODUCT(('Projects Overview'!$B$2:$B$5021="Goosenecks")*('Projects Overview'!$G$2:$G$5021="Firm")*('Projects Overview'!AB$2:AB$5021))</f>
        <v>0</v>
      </c>
      <c r="T117" s="104" cm="1">
        <f t="array" ref="T117">SUMPRODUCT(('Projects Overview'!$B$2:$B$5021="Goosenecks")*('Projects Overview'!$G$2:$G$5021="Firm")*('Projects Overview'!AC$2:AC$5021))</f>
        <v>0</v>
      </c>
      <c r="U117" s="104" cm="1">
        <f t="array" ref="U117">SUMPRODUCT(('Projects Overview'!$B$2:$B$5021="Goosenecks")*('Projects Overview'!$G$2:$G$5021="Firm")*('Projects Overview'!AD$2:AD$5021))</f>
        <v>0</v>
      </c>
      <c r="V117" s="104" cm="1">
        <f t="array" ref="V117">SUMPRODUCT(('Projects Overview'!$B$2:$B$5021="Goosenecks")*('Projects Overview'!$G$2:$G$5021="Firm")*('Projects Overview'!AE$2:AE$5021))</f>
        <v>0</v>
      </c>
      <c r="W117" s="104" cm="1">
        <f t="array" ref="W117">SUMPRODUCT(('Projects Overview'!$B$2:$B$5021="Goosenecks")*('Projects Overview'!$G$2:$G$5021="Firm")*('Projects Overview'!AF$2:AF$5021))</f>
        <v>0</v>
      </c>
      <c r="X117" s="104" cm="1">
        <f t="array" ref="X117">SUMPRODUCT(('Projects Overview'!$B$2:$B$5021="Goosenecks")*('Projects Overview'!$G$2:$G$5021="Firm")*('Projects Overview'!AG$2:AG$5021))</f>
        <v>0</v>
      </c>
      <c r="Y117" s="104" cm="1">
        <f t="array" ref="Y117">SUMPRODUCT(('Projects Overview'!$B$2:$B$5021="Goosenecks")*('Projects Overview'!$G$2:$G$5021="Firm")*('Projects Overview'!AH$2:AH$5021))</f>
        <v>0</v>
      </c>
      <c r="Z117" s="104" cm="1">
        <f t="array" ref="Z117">SUMPRODUCT(('Projects Overview'!$B$2:$B$5021="Goosenecks")*('Projects Overview'!$G$2:$G$5021="Firm")*('Projects Overview'!AI$2:AI$5021))</f>
        <v>0</v>
      </c>
      <c r="AA117" s="104" cm="1">
        <f t="array" ref="AA117">SUMPRODUCT(('Projects Overview'!$B$2:$B$5021="Goosenecks")*('Projects Overview'!$G$2:$G$5021="Firm")*('Projects Overview'!AJ$2:AJ$5021))</f>
        <v>0</v>
      </c>
      <c r="AB117" s="104" cm="1">
        <f t="array" ref="AB117">SUMPRODUCT(('Projects Overview'!$B$2:$B$5021="Goosenecks")*('Projects Overview'!$G$2:$G$5021="Firm")*('Projects Overview'!AK$2:AK$5021))</f>
        <v>0</v>
      </c>
      <c r="AC117" s="104" cm="1">
        <f t="array" ref="AC117">SUMPRODUCT(('Projects Overview'!$B$2:$B$5021="Goosenecks")*('Projects Overview'!$G$2:$G$5021="Firm")*('Projects Overview'!AL$2:AL$5021))</f>
        <v>0</v>
      </c>
      <c r="AD117" s="104" cm="1">
        <f t="array" ref="AD117">SUMPRODUCT(('Projects Overview'!$B$2:$B$5021="Goosenecks")*('Projects Overview'!$G$2:$G$5021="Firm")*('Projects Overview'!AM$2:AM$5021))</f>
        <v>0</v>
      </c>
      <c r="AE117" s="104" cm="1">
        <f t="array" ref="AE117">SUMPRODUCT(('Projects Overview'!$B$2:$B$5021="Goosenecks")*('Projects Overview'!$G$2:$G$5021="Firm")*('Projects Overview'!AN$2:AN$5021))</f>
        <v>0</v>
      </c>
      <c r="AF117" s="104" cm="1">
        <f t="array" ref="AF117">SUMPRODUCT(('Projects Overview'!$B$2:$B$5021="Goosenecks")*('Projects Overview'!$G$2:$G$5021="Firm")*('Projects Overview'!AO$2:AO$5021))</f>
        <v>0</v>
      </c>
      <c r="AG117" s="104" cm="1">
        <f t="array" ref="AG117">SUMPRODUCT(('Projects Overview'!$B$2:$B$5021="Goosenecks")*('Projects Overview'!$G$2:$G$5021="Firm")*('Projects Overview'!AP$2:AP$5021))</f>
        <v>0</v>
      </c>
      <c r="AH117" s="104" cm="1">
        <f t="array" ref="AH117">SUMPRODUCT(('Projects Overview'!$B$2:$B$5021="Goosenecks")*('Projects Overview'!$G$2:$G$5021="Firm")*('Projects Overview'!AQ$2:AQ$5021))</f>
        <v>0</v>
      </c>
      <c r="AI117" s="104" cm="1">
        <f t="array" ref="AI117">SUMPRODUCT(('Projects Overview'!$B$2:$B$5021="Goosenecks")*('Projects Overview'!$G$2:$G$5021="Firm")*('Projects Overview'!AR$2:AR$5021))</f>
        <v>0</v>
      </c>
      <c r="AJ117" s="104" cm="1">
        <f t="array" ref="AJ117">SUMPRODUCT(('Projects Overview'!$B$2:$B$5021="Goosenecks")*('Projects Overview'!$G$2:$G$5021="Firm")*('Projects Overview'!AS$2:AS$5021))</f>
        <v>0</v>
      </c>
      <c r="AK117" s="104" cm="1">
        <f t="array" ref="AK117">SUMPRODUCT(('Projects Overview'!$B$2:$B$5021="Goosenecks")*('Projects Overview'!$G$2:$G$5021="Firm")*('Projects Overview'!AT$2:AT$5021))</f>
        <v>0</v>
      </c>
      <c r="AL117" s="104" cm="1">
        <f t="array" ref="AL117">SUMPRODUCT(('Projects Overview'!$B$2:$B$5021="Goosenecks")*('Projects Overview'!$G$2:$G$5021="Firm")*('Projects Overview'!AU$2:AU$5021))</f>
        <v>0</v>
      </c>
      <c r="AM117" s="104" cm="1">
        <f t="array" ref="AM117">SUMPRODUCT(('Projects Overview'!$B$2:$B$5021="Goosenecks")*('Projects Overview'!$G$2:$G$5021="Firm")*('Projects Overview'!AV$2:AV$5021))</f>
        <v>0</v>
      </c>
    </row>
    <row r="118" spans="1:39" x14ac:dyDescent="0.35">
      <c r="A118" s="222"/>
      <c r="B118" s="227"/>
      <c r="C118" s="2" t="s">
        <v>6</v>
      </c>
      <c r="D118" s="104">
        <v>0</v>
      </c>
      <c r="E118" s="104">
        <v>0</v>
      </c>
      <c r="F118" s="104">
        <v>0</v>
      </c>
      <c r="G118" s="104">
        <v>0</v>
      </c>
      <c r="H118" s="104">
        <v>0</v>
      </c>
      <c r="I118" s="104" cm="1">
        <f t="array" ref="I118">SUMPRODUCT(('Projects Overview'!$B$2:$B$5021="Goosenecks")*('Projects Overview'!$G$2:$G$5021="Risk Release")*('Projects Overview'!R$2:R$5021))</f>
        <v>0</v>
      </c>
      <c r="J118" s="104" cm="1">
        <f t="array" ref="J118">SUMPRODUCT(('Projects Overview'!$B$2:$B$5021="Goosenecks")*('Projects Overview'!$G$2:$G$5021="Risk Release")*('Projects Overview'!S$2:S$5021))</f>
        <v>0</v>
      </c>
      <c r="K118" s="104" cm="1">
        <f t="array" ref="K118">SUMPRODUCT(('Projects Overview'!$B$2:$B$5021="Goosenecks")*('Projects Overview'!$G$2:$G$5021="Risk Release")*('Projects Overview'!T$2:T$5021))</f>
        <v>0</v>
      </c>
      <c r="L118" s="104" cm="1">
        <f t="array" ref="L118">SUMPRODUCT(('Projects Overview'!$B$2:$B$5021="Goosenecks")*('Projects Overview'!$G$2:$G$5021="Risk Release")*('Projects Overview'!U$2:U$5021))</f>
        <v>0</v>
      </c>
      <c r="M118" s="104" cm="1">
        <f t="array" ref="M118">SUMPRODUCT(('Projects Overview'!$B$2:$B$5021="Goosenecks")*('Projects Overview'!$G$2:$G$5021="Risk Release")*('Projects Overview'!V$2:V$5021))</f>
        <v>0</v>
      </c>
      <c r="N118" s="104" cm="1">
        <f t="array" ref="N118">SUMPRODUCT(('Projects Overview'!$B$2:$B$5021="Goosenecks")*('Projects Overview'!$G$2:$G$5021="Risk Release")*('Projects Overview'!W$2:W$5021))</f>
        <v>0</v>
      </c>
      <c r="O118" s="104" cm="1">
        <f t="array" ref="O118">SUMPRODUCT(('Projects Overview'!$B$2:$B$5021="Goosenecks")*('Projects Overview'!$G$2:$G$5021="Risk Release")*('Projects Overview'!X$2:X$5021))</f>
        <v>0</v>
      </c>
      <c r="P118" s="104" cm="1">
        <f t="array" ref="P118">SUMPRODUCT(('Projects Overview'!$B$2:$B$5021="Goosenecks")*('Projects Overview'!$G$2:$G$5021="Risk Release")*('Projects Overview'!Y$2:Y$5021))</f>
        <v>0</v>
      </c>
      <c r="Q118" s="104" cm="1">
        <f t="array" ref="Q118">SUMPRODUCT(('Projects Overview'!$B$2:$B$5021="Goosenecks")*('Projects Overview'!$G$2:$G$5021="Risk Release")*('Projects Overview'!Z$2:Z$5021))</f>
        <v>0</v>
      </c>
      <c r="R118" s="104" cm="1">
        <f t="array" ref="R118">SUMPRODUCT(('Projects Overview'!$B$2:$B$5021="Goosenecks")*('Projects Overview'!$G$2:$G$5021="Risk Release")*('Projects Overview'!AA$2:AA$5021))</f>
        <v>0</v>
      </c>
      <c r="S118" s="104" cm="1">
        <f t="array" ref="S118">SUMPRODUCT(('Projects Overview'!$B$2:$B$5021="Goosenecks")*('Projects Overview'!$G$2:$G$5021="Risk Release")*('Projects Overview'!AB$2:AB$5021))</f>
        <v>0</v>
      </c>
      <c r="T118" s="104" cm="1">
        <f t="array" ref="T118">SUMPRODUCT(('Projects Overview'!$B$2:$B$5021="Goosenecks")*('Projects Overview'!$G$2:$G$5021="Risk Release")*('Projects Overview'!AC$2:AC$5021))</f>
        <v>0</v>
      </c>
      <c r="U118" s="104" cm="1">
        <f t="array" ref="U118">SUMPRODUCT(('Projects Overview'!$B$2:$B$5021="Goosenecks")*('Projects Overview'!$G$2:$G$5021="Risk Release")*('Projects Overview'!AD$2:AD$5021))</f>
        <v>0</v>
      </c>
      <c r="V118" s="104" cm="1">
        <f t="array" ref="V118">SUMPRODUCT(('Projects Overview'!$B$2:$B$5021="Goosenecks")*('Projects Overview'!$G$2:$G$5021="Risk Release")*('Projects Overview'!AE$2:AE$5021))</f>
        <v>0</v>
      </c>
      <c r="W118" s="104" cm="1">
        <f t="array" ref="W118">SUMPRODUCT(('Projects Overview'!$B$2:$B$5021="Goosenecks")*('Projects Overview'!$G$2:$G$5021="Risk Release")*('Projects Overview'!AF$2:AF$5021))</f>
        <v>0</v>
      </c>
      <c r="X118" s="104" cm="1">
        <f t="array" ref="X118">SUMPRODUCT(('Projects Overview'!$B$2:$B$5021="Goosenecks")*('Projects Overview'!$G$2:$G$5021="Risk Release")*('Projects Overview'!AG$2:AG$5021))</f>
        <v>0</v>
      </c>
      <c r="Y118" s="104" cm="1">
        <f t="array" ref="Y118">SUMPRODUCT(('Projects Overview'!$B$2:$B$5021="Goosenecks")*('Projects Overview'!$G$2:$G$5021="Risk Release")*('Projects Overview'!AH$2:AH$5021))</f>
        <v>0</v>
      </c>
      <c r="Z118" s="104" cm="1">
        <f t="array" ref="Z118">SUMPRODUCT(('Projects Overview'!$B$2:$B$5021="Goosenecks")*('Projects Overview'!$G$2:$G$5021="Risk Release")*('Projects Overview'!AI$2:AI$5021))</f>
        <v>0</v>
      </c>
      <c r="AA118" s="104" cm="1">
        <f t="array" ref="AA118">SUMPRODUCT(('Projects Overview'!$B$2:$B$5021="Goosenecks")*('Projects Overview'!$G$2:$G$5021="Risk Release")*('Projects Overview'!AJ$2:AJ$5021))</f>
        <v>0</v>
      </c>
      <c r="AB118" s="104" cm="1">
        <f t="array" ref="AB118">SUMPRODUCT(('Projects Overview'!$B$2:$B$5021="Goosenecks")*('Projects Overview'!$G$2:$G$5021="Risk Release")*('Projects Overview'!AK$2:AK$5021))</f>
        <v>0</v>
      </c>
      <c r="AC118" s="104" cm="1">
        <f t="array" ref="AC118">SUMPRODUCT(('Projects Overview'!$B$2:$B$5021="Goosenecks")*('Projects Overview'!$G$2:$G$5021="Risk Release")*('Projects Overview'!AL$2:AL$5021))</f>
        <v>0</v>
      </c>
      <c r="AD118" s="104" cm="1">
        <f t="array" ref="AD118">SUMPRODUCT(('Projects Overview'!$B$2:$B$5021="Goosenecks")*('Projects Overview'!$G$2:$G$5021="Risk Release")*('Projects Overview'!AM$2:AM$5021))</f>
        <v>0</v>
      </c>
      <c r="AE118" s="104" cm="1">
        <f t="array" ref="AE118">SUMPRODUCT(('Projects Overview'!$B$2:$B$5021="Goosenecks")*('Projects Overview'!$G$2:$G$5021="Risk Release")*('Projects Overview'!AN$2:AN$5021))</f>
        <v>0</v>
      </c>
      <c r="AF118" s="104" cm="1">
        <f t="array" ref="AF118">SUMPRODUCT(('Projects Overview'!$B$2:$B$5021="Goosenecks")*('Projects Overview'!$G$2:$G$5021="Risk Release")*('Projects Overview'!AO$2:AO$5021))</f>
        <v>0</v>
      </c>
      <c r="AG118" s="104" cm="1">
        <f t="array" ref="AG118">SUMPRODUCT(('Projects Overview'!$B$2:$B$5021="Goosenecks")*('Projects Overview'!$G$2:$G$5021="Risk Release")*('Projects Overview'!AP$2:AP$5021))</f>
        <v>0</v>
      </c>
      <c r="AH118" s="104" cm="1">
        <f t="array" ref="AH118">SUMPRODUCT(('Projects Overview'!$B$2:$B$5021="Goosenecks")*('Projects Overview'!$G$2:$G$5021="Risk Release")*('Projects Overview'!AQ$2:AQ$5021))</f>
        <v>0</v>
      </c>
      <c r="AI118" s="104" cm="1">
        <f t="array" ref="AI118">SUMPRODUCT(('Projects Overview'!$B$2:$B$5021="Goosenecks")*('Projects Overview'!$G$2:$G$5021="Risk Release")*('Projects Overview'!AR$2:AR$5021))</f>
        <v>0</v>
      </c>
      <c r="AJ118" s="104" cm="1">
        <f t="array" ref="AJ118">SUMPRODUCT(('Projects Overview'!$B$2:$B$5021="Goosenecks")*('Projects Overview'!$G$2:$G$5021="Risk Release")*('Projects Overview'!AS$2:AS$5021))</f>
        <v>0</v>
      </c>
      <c r="AK118" s="104" cm="1">
        <f t="array" ref="AK118">SUMPRODUCT(('Projects Overview'!$B$2:$B$5021="Goosenecks")*('Projects Overview'!$G$2:$G$5021="Risk Release")*('Projects Overview'!AT$2:AT$5021))</f>
        <v>0</v>
      </c>
      <c r="AL118" s="104" cm="1">
        <f t="array" ref="AL118">SUMPRODUCT(('Projects Overview'!$B$2:$B$5021="Goosenecks")*('Projects Overview'!$G$2:$G$5021="Risk Release")*('Projects Overview'!AU$2:AU$5021))</f>
        <v>0</v>
      </c>
      <c r="AM118" s="104" cm="1">
        <f t="array" ref="AM118">SUMPRODUCT(('Projects Overview'!$B$2:$B$5021="Goosenecks")*('Projects Overview'!$G$2:$G$5021="Risk Release")*('Projects Overview'!AV$2:AV$5021))</f>
        <v>0</v>
      </c>
    </row>
    <row r="119" spans="1:39" x14ac:dyDescent="0.35">
      <c r="A119" s="222"/>
      <c r="B119" s="228"/>
      <c r="C119" s="3" t="s">
        <v>8</v>
      </c>
      <c r="D119" s="104">
        <v>0</v>
      </c>
      <c r="E119" s="104">
        <v>0</v>
      </c>
      <c r="F119" s="104">
        <v>0</v>
      </c>
      <c r="G119" s="104">
        <v>0</v>
      </c>
      <c r="H119" s="104">
        <v>0</v>
      </c>
      <c r="I119" s="104" cm="1">
        <f t="array" ref="I119">SUMPRODUCT(('Projects Overview'!$B$2:$B$5021="Goosenecks")*('Projects Overview'!$G$2:$G$5021="Forecast")*('Projects Overview'!R$2:R$5021))</f>
        <v>0</v>
      </c>
      <c r="J119" s="104" cm="1">
        <f t="array" ref="J119">SUMPRODUCT(('Projects Overview'!$B$2:$B$5021="Goosenecks")*('Projects Overview'!$G$2:$G$5021="Forecast")*('Projects Overview'!S$2:S$5021))</f>
        <v>0</v>
      </c>
      <c r="K119" s="104" cm="1">
        <f t="array" ref="K119">SUMPRODUCT(('Projects Overview'!$B$2:$B$5021="Goosenecks")*('Projects Overview'!$G$2:$G$5021="Forecast")*('Projects Overview'!T$2:T$5021))</f>
        <v>0</v>
      </c>
      <c r="L119" s="104" cm="1">
        <f t="array" ref="L119">SUMPRODUCT(('Projects Overview'!$B$2:$B$5021="Goosenecks")*('Projects Overview'!$G$2:$G$5021="Forecast")*('Projects Overview'!U$2:U$5021))</f>
        <v>0</v>
      </c>
      <c r="M119" s="104" cm="1">
        <f t="array" ref="M119">SUMPRODUCT(('Projects Overview'!$B$2:$B$5021="Goosenecks")*('Projects Overview'!$G$2:$G$5021="Forecast")*('Projects Overview'!V$2:V$5021))</f>
        <v>0</v>
      </c>
      <c r="N119" s="104" cm="1">
        <f t="array" ref="N119">SUMPRODUCT(('Projects Overview'!$B$2:$B$5021="Goosenecks")*('Projects Overview'!$G$2:$G$5021="Forecast")*('Projects Overview'!W$2:W$5021))</f>
        <v>0</v>
      </c>
      <c r="O119" s="104" cm="1">
        <f t="array" ref="O119">SUMPRODUCT(('Projects Overview'!$B$2:$B$5021="Goosenecks")*('Projects Overview'!$G$2:$G$5021="Forecast")*('Projects Overview'!X$2:X$5021))</f>
        <v>0</v>
      </c>
      <c r="P119" s="104" cm="1">
        <f t="array" ref="P119">SUMPRODUCT(('Projects Overview'!$B$2:$B$5021="Goosenecks")*('Projects Overview'!$G$2:$G$5021="Forecast")*('Projects Overview'!Y$2:Y$5021))</f>
        <v>0</v>
      </c>
      <c r="Q119" s="104" cm="1">
        <f t="array" ref="Q119">SUMPRODUCT(('Projects Overview'!$B$2:$B$5021="Goosenecks")*('Projects Overview'!$G$2:$G$5021="Forecast")*('Projects Overview'!Z$2:Z$5021))</f>
        <v>0</v>
      </c>
      <c r="R119" s="104" cm="1">
        <f t="array" ref="R119">SUMPRODUCT(('Projects Overview'!$B$2:$B$5021="Goosenecks")*('Projects Overview'!$G$2:$G$5021="Forecast")*('Projects Overview'!AA$2:AA$5021))</f>
        <v>225</v>
      </c>
      <c r="S119" s="104" cm="1">
        <f t="array" ref="S119">SUMPRODUCT(('Projects Overview'!$B$2:$B$5021="Goosenecks")*('Projects Overview'!$G$2:$G$5021="Forecast")*('Projects Overview'!AB$2:AB$5021))</f>
        <v>225</v>
      </c>
      <c r="T119" s="104" cm="1">
        <f t="array" ref="T119">SUMPRODUCT(('Projects Overview'!$B$2:$B$5021="Goosenecks")*('Projects Overview'!$G$2:$G$5021="Forecast")*('Projects Overview'!AC$2:AC$5021))</f>
        <v>0</v>
      </c>
      <c r="U119" s="104" cm="1">
        <f t="array" ref="U119">SUMPRODUCT(('Projects Overview'!$B$2:$B$5021="Goosenecks")*('Projects Overview'!$G$2:$G$5021="Forecast")*('Projects Overview'!AD$2:AD$5021))</f>
        <v>0</v>
      </c>
      <c r="V119" s="104" cm="1">
        <f t="array" ref="V119">SUMPRODUCT(('Projects Overview'!$B$2:$B$5021="Goosenecks")*('Projects Overview'!$G$2:$G$5021="Forecast")*('Projects Overview'!AE$2:AE$5021))</f>
        <v>0</v>
      </c>
      <c r="W119" s="104" cm="1">
        <f t="array" ref="W119">SUMPRODUCT(('Projects Overview'!$B$2:$B$5021="Goosenecks")*('Projects Overview'!$G$2:$G$5021="Forecast")*('Projects Overview'!AF$2:AF$5021))</f>
        <v>0</v>
      </c>
      <c r="X119" s="104" cm="1">
        <f t="array" ref="X119">SUMPRODUCT(('Projects Overview'!$B$2:$B$5021="Goosenecks")*('Projects Overview'!$G$2:$G$5021="Forecast")*('Projects Overview'!AG$2:AG$5021))</f>
        <v>0</v>
      </c>
      <c r="Y119" s="104" cm="1">
        <f t="array" ref="Y119">SUMPRODUCT(('Projects Overview'!$B$2:$B$5021="Goosenecks")*('Projects Overview'!$G$2:$G$5021="Forecast")*('Projects Overview'!AH$2:AH$5021))</f>
        <v>0</v>
      </c>
      <c r="Z119" s="104" cm="1">
        <f t="array" ref="Z119">SUMPRODUCT(('Projects Overview'!$B$2:$B$5021="Goosenecks")*('Projects Overview'!$G$2:$G$5021="Forecast")*('Projects Overview'!AI$2:AI$5021))</f>
        <v>0</v>
      </c>
      <c r="AA119" s="104" cm="1">
        <f t="array" ref="AA119">SUMPRODUCT(('Projects Overview'!$B$2:$B$5021="Goosenecks")*('Projects Overview'!$G$2:$G$5021="Forecast")*('Projects Overview'!AJ$2:AJ$5021))</f>
        <v>0</v>
      </c>
      <c r="AB119" s="104" cm="1">
        <f t="array" ref="AB119">SUMPRODUCT(('Projects Overview'!$B$2:$B$5021="Goosenecks")*('Projects Overview'!$G$2:$G$5021="Forecast")*('Projects Overview'!AK$2:AK$5021))</f>
        <v>0</v>
      </c>
      <c r="AC119" s="104" cm="1">
        <f t="array" ref="AC119">SUMPRODUCT(('Projects Overview'!$B$2:$B$5021="Goosenecks")*('Projects Overview'!$G$2:$G$5021="Forecast")*('Projects Overview'!AL$2:AL$5021))</f>
        <v>0</v>
      </c>
      <c r="AD119" s="104" cm="1">
        <f t="array" ref="AD119">SUMPRODUCT(('Projects Overview'!$B$2:$B$5021="Goosenecks")*('Projects Overview'!$G$2:$G$5021="Forecast")*('Projects Overview'!AM$2:AM$5021))</f>
        <v>0</v>
      </c>
      <c r="AE119" s="104" cm="1">
        <f t="array" ref="AE119">SUMPRODUCT(('Projects Overview'!$B$2:$B$5021="Goosenecks")*('Projects Overview'!$G$2:$G$5021="Forecast")*('Projects Overview'!AN$2:AN$5021))</f>
        <v>0</v>
      </c>
      <c r="AF119" s="104" cm="1">
        <f t="array" ref="AF119">SUMPRODUCT(('Projects Overview'!$B$2:$B$5021="Goosenecks")*('Projects Overview'!$G$2:$G$5021="Forecast")*('Projects Overview'!AO$2:AO$5021))</f>
        <v>0</v>
      </c>
      <c r="AG119" s="104" cm="1">
        <f t="array" ref="AG119">SUMPRODUCT(('Projects Overview'!$B$2:$B$5021="Goosenecks")*('Projects Overview'!$G$2:$G$5021="Forecast")*('Projects Overview'!AP$2:AP$5021))</f>
        <v>0</v>
      </c>
      <c r="AH119" s="104" cm="1">
        <f t="array" ref="AH119">SUMPRODUCT(('Projects Overview'!$B$2:$B$5021="Goosenecks")*('Projects Overview'!$G$2:$G$5021="Forecast")*('Projects Overview'!AQ$2:AQ$5021))</f>
        <v>0</v>
      </c>
      <c r="AI119" s="104" cm="1">
        <f t="array" ref="AI119">SUMPRODUCT(('Projects Overview'!$B$2:$B$5021="Goosenecks")*('Projects Overview'!$G$2:$G$5021="Forecast")*('Projects Overview'!AR$2:AR$5021))</f>
        <v>0</v>
      </c>
      <c r="AJ119" s="104" cm="1">
        <f t="array" ref="AJ119">SUMPRODUCT(('Projects Overview'!$B$2:$B$5021="Goosenecks")*('Projects Overview'!$G$2:$G$5021="Forecast")*('Projects Overview'!AS$2:AS$5021))</f>
        <v>0</v>
      </c>
      <c r="AK119" s="104" cm="1">
        <f t="array" ref="AK119">SUMPRODUCT(('Projects Overview'!$B$2:$B$5021="Goosenecks")*('Projects Overview'!$G$2:$G$5021="Forecast")*('Projects Overview'!AT$2:AT$5021))</f>
        <v>0</v>
      </c>
      <c r="AL119" s="104" cm="1">
        <f t="array" ref="AL119">SUMPRODUCT(('Projects Overview'!$B$2:$B$5021="Goosenecks")*('Projects Overview'!$G$2:$G$5021="Forecast")*('Projects Overview'!AU$2:AU$5021))</f>
        <v>0</v>
      </c>
      <c r="AM119" s="104" cm="1">
        <f t="array" ref="AM119">SUMPRODUCT(('Projects Overview'!$B$2:$B$5021="Goosenecks")*('Projects Overview'!$G$2:$G$5021="Forecast")*('Projects Overview'!AV$2:AV$5021))</f>
        <v>0</v>
      </c>
    </row>
    <row r="120" spans="1:39" x14ac:dyDescent="0.35">
      <c r="A120" s="222"/>
      <c r="B120" s="227" t="s">
        <v>170</v>
      </c>
      <c r="C120" s="4" t="s">
        <v>4</v>
      </c>
      <c r="D120" s="104">
        <v>0</v>
      </c>
      <c r="E120" s="104">
        <v>0</v>
      </c>
      <c r="F120" s="104">
        <v>0</v>
      </c>
      <c r="G120" s="104">
        <v>0</v>
      </c>
      <c r="H120" s="104">
        <v>0</v>
      </c>
      <c r="I120" s="104" cm="1">
        <f t="array" ref="I120">SUMPRODUCT(('Projects Overview'!$B$2:$B$5021="Swivel")*('Projects Overview'!$G$2:$G$5021="Firm")*('Projects Overview'!R$2:R$5021))</f>
        <v>0</v>
      </c>
      <c r="J120" s="104" cm="1">
        <f t="array" ref="J120">SUMPRODUCT(('Projects Overview'!$B$2:$B$5021="Swivel")*('Projects Overview'!$G$2:$G$5021="Firm")*('Projects Overview'!S$2:S$5021))</f>
        <v>0</v>
      </c>
      <c r="K120" s="104" cm="1">
        <f t="array" ref="K120">SUMPRODUCT(('Projects Overview'!$B$2:$B$5021="Swivel")*('Projects Overview'!$G$2:$G$5021="Firm")*('Projects Overview'!T$2:T$5021))</f>
        <v>0</v>
      </c>
      <c r="L120" s="104" cm="1">
        <f t="array" ref="L120">SUMPRODUCT(('Projects Overview'!$B$2:$B$5021="Swivel")*('Projects Overview'!$G$2:$G$5021="Firm")*('Projects Overview'!U$2:U$5021))</f>
        <v>0</v>
      </c>
      <c r="M120" s="104" cm="1">
        <f t="array" ref="M120">SUMPRODUCT(('Projects Overview'!$B$2:$B$5021="Swivel")*('Projects Overview'!$G$2:$G$5021="Firm")*('Projects Overview'!V$2:V$5021))</f>
        <v>0</v>
      </c>
      <c r="N120" s="104" cm="1">
        <f t="array" ref="N120">SUMPRODUCT(('Projects Overview'!$B$2:$B$5021="Swivel")*('Projects Overview'!$G$2:$G$5021="Firm")*('Projects Overview'!W$2:W$5021))</f>
        <v>0</v>
      </c>
      <c r="O120" s="104" cm="1">
        <f t="array" ref="O120">SUMPRODUCT(('Projects Overview'!$B$2:$B$5021="Swivel")*('Projects Overview'!$G$2:$G$5021="Firm")*('Projects Overview'!X$2:X$5021))</f>
        <v>0</v>
      </c>
      <c r="P120" s="104" cm="1">
        <f t="array" ref="P120">SUMPRODUCT(('Projects Overview'!$B$2:$B$5021="Swivel")*('Projects Overview'!$G$2:$G$5021="Firm")*('Projects Overview'!Y$2:Y$5021))</f>
        <v>0</v>
      </c>
      <c r="Q120" s="104" cm="1">
        <f t="array" ref="Q120">SUMPRODUCT(('Projects Overview'!$B$2:$B$5021="Swivel")*('Projects Overview'!$G$2:$G$5021="Firm")*('Projects Overview'!Z$2:Z$5021))</f>
        <v>0</v>
      </c>
      <c r="R120" s="104" cm="1">
        <f t="array" ref="R120">SUMPRODUCT(('Projects Overview'!$B$2:$B$5021="Swivel")*('Projects Overview'!$G$2:$G$5021="Firm")*('Projects Overview'!AA$2:AA$5021))</f>
        <v>0</v>
      </c>
      <c r="S120" s="104" cm="1">
        <f t="array" ref="S120">SUMPRODUCT(('Projects Overview'!$B$2:$B$5021="Swivel")*('Projects Overview'!$G$2:$G$5021="Firm")*('Projects Overview'!AB$2:AB$5021))</f>
        <v>0</v>
      </c>
      <c r="T120" s="104" cm="1">
        <f t="array" ref="T120">SUMPRODUCT(('Projects Overview'!$B$2:$B$5021="Swivel")*('Projects Overview'!$G$2:$G$5021="Firm")*('Projects Overview'!AC$2:AC$5021))</f>
        <v>0</v>
      </c>
      <c r="U120" s="104" cm="1">
        <f t="array" ref="U120">SUMPRODUCT(('Projects Overview'!$B$2:$B$5021="Swivel")*('Projects Overview'!$G$2:$G$5021="Firm")*('Projects Overview'!AD$2:AD$5021))</f>
        <v>0</v>
      </c>
      <c r="V120" s="104" cm="1">
        <f t="array" ref="V120">SUMPRODUCT(('Projects Overview'!$B$2:$B$5021="Swivel")*('Projects Overview'!$G$2:$G$5021="Firm")*('Projects Overview'!AE$2:AE$5021))</f>
        <v>0</v>
      </c>
      <c r="W120" s="104" cm="1">
        <f t="array" ref="W120">SUMPRODUCT(('Projects Overview'!$B$2:$B$5021="Swivel")*('Projects Overview'!$G$2:$G$5021="Firm")*('Projects Overview'!AF$2:AF$5021))</f>
        <v>0</v>
      </c>
      <c r="X120" s="104" cm="1">
        <f t="array" ref="X120">SUMPRODUCT(('Projects Overview'!$B$2:$B$5021="Swivel")*('Projects Overview'!$G$2:$G$5021="Firm")*('Projects Overview'!AG$2:AG$5021))</f>
        <v>0</v>
      </c>
      <c r="Y120" s="104" cm="1">
        <f t="array" ref="Y120">SUMPRODUCT(('Projects Overview'!$B$2:$B$5021="Swivel")*('Projects Overview'!$G$2:$G$5021="Firm")*('Projects Overview'!AH$2:AH$5021))</f>
        <v>0</v>
      </c>
      <c r="Z120" s="104" cm="1">
        <f t="array" ref="Z120">SUMPRODUCT(('Projects Overview'!$B$2:$B$5021="Swivel")*('Projects Overview'!$G$2:$G$5021="Firm")*('Projects Overview'!AI$2:AI$5021))</f>
        <v>0</v>
      </c>
      <c r="AA120" s="104" cm="1">
        <f t="array" ref="AA120">SUMPRODUCT(('Projects Overview'!$B$2:$B$5021="Swivel")*('Projects Overview'!$G$2:$G$5021="Firm")*('Projects Overview'!AJ$2:AJ$5021))</f>
        <v>0</v>
      </c>
      <c r="AB120" s="104" cm="1">
        <f t="array" ref="AB120">SUMPRODUCT(('Projects Overview'!$B$2:$B$5021="Swivel")*('Projects Overview'!$G$2:$G$5021="Firm")*('Projects Overview'!AK$2:AK$5021))</f>
        <v>0</v>
      </c>
      <c r="AC120" s="104" cm="1">
        <f t="array" ref="AC120">SUMPRODUCT(('Projects Overview'!$B$2:$B$5021="Swivel")*('Projects Overview'!$G$2:$G$5021="Firm")*('Projects Overview'!AL$2:AL$5021))</f>
        <v>0</v>
      </c>
      <c r="AD120" s="104" cm="1">
        <f t="array" ref="AD120">SUMPRODUCT(('Projects Overview'!$B$2:$B$5021="Swivel")*('Projects Overview'!$G$2:$G$5021="Firm")*('Projects Overview'!AM$2:AM$5021))</f>
        <v>0</v>
      </c>
      <c r="AE120" s="104" cm="1">
        <f t="array" ref="AE120">SUMPRODUCT(('Projects Overview'!$B$2:$B$5021="Swivel")*('Projects Overview'!$G$2:$G$5021="Firm")*('Projects Overview'!AN$2:AN$5021))</f>
        <v>0</v>
      </c>
      <c r="AF120" s="104" cm="1">
        <f t="array" ref="AF120">SUMPRODUCT(('Projects Overview'!$B$2:$B$5021="Swivel")*('Projects Overview'!$G$2:$G$5021="Firm")*('Projects Overview'!AO$2:AO$5021))</f>
        <v>0</v>
      </c>
      <c r="AG120" s="104" cm="1">
        <f t="array" ref="AG120">SUMPRODUCT(('Projects Overview'!$B$2:$B$5021="Swivel")*('Projects Overview'!$G$2:$G$5021="Firm")*('Projects Overview'!AP$2:AP$5021))</f>
        <v>0</v>
      </c>
      <c r="AH120" s="104" cm="1">
        <f t="array" ref="AH120">SUMPRODUCT(('Projects Overview'!$B$2:$B$5021="Swivel")*('Projects Overview'!$G$2:$G$5021="Firm")*('Projects Overview'!AQ$2:AQ$5021))</f>
        <v>0</v>
      </c>
      <c r="AI120" s="104" cm="1">
        <f t="array" ref="AI120">SUMPRODUCT(('Projects Overview'!$B$2:$B$5021="Swivel")*('Projects Overview'!$G$2:$G$5021="Firm")*('Projects Overview'!AR$2:AR$5021))</f>
        <v>0</v>
      </c>
      <c r="AJ120" s="104" cm="1">
        <f t="array" ref="AJ120">SUMPRODUCT(('Projects Overview'!$B$2:$B$5021="Swivel")*('Projects Overview'!$G$2:$G$5021="Firm")*('Projects Overview'!AS$2:AS$5021))</f>
        <v>0</v>
      </c>
      <c r="AK120" s="104" cm="1">
        <f t="array" ref="AK120">SUMPRODUCT(('Projects Overview'!$B$2:$B$5021="Swivel")*('Projects Overview'!$G$2:$G$5021="Firm")*('Projects Overview'!AT$2:AT$5021))</f>
        <v>0</v>
      </c>
      <c r="AL120" s="104" cm="1">
        <f t="array" ref="AL120">SUMPRODUCT(('Projects Overview'!$B$2:$B$5021="Swivel")*('Projects Overview'!$G$2:$G$5021="Firm")*('Projects Overview'!AU$2:AU$5021))</f>
        <v>0</v>
      </c>
      <c r="AM120" s="104" cm="1">
        <f t="array" ref="AM120">SUMPRODUCT(('Projects Overview'!$B$2:$B$5021="Swivel")*('Projects Overview'!$G$2:$G$5021="Firm")*('Projects Overview'!AV$2:AV$5021))</f>
        <v>0</v>
      </c>
    </row>
    <row r="121" spans="1:39" x14ac:dyDescent="0.35">
      <c r="A121" s="222"/>
      <c r="B121" s="227"/>
      <c r="C121" s="2" t="s">
        <v>6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 cm="1">
        <f t="array" ref="I121">SUMPRODUCT(('Projects Overview'!$B$2:$B$5021="Swivel")*('Projects Overview'!$G$2:$G$5021="Risk Release")*('Projects Overview'!R$2:R$5021))</f>
        <v>0</v>
      </c>
      <c r="J121" s="104" cm="1">
        <f t="array" ref="J121">SUMPRODUCT(('Projects Overview'!$B$2:$B$5021="Swivel")*('Projects Overview'!$G$2:$G$5021="Risk Release")*('Projects Overview'!S$2:S$5021))</f>
        <v>0</v>
      </c>
      <c r="K121" s="104" cm="1">
        <f t="array" ref="K121">SUMPRODUCT(('Projects Overview'!$B$2:$B$5021="Swivel")*('Projects Overview'!$G$2:$G$5021="Risk Release")*('Projects Overview'!T$2:T$5021))</f>
        <v>0</v>
      </c>
      <c r="L121" s="104" cm="1">
        <f t="array" ref="L121">SUMPRODUCT(('Projects Overview'!$B$2:$B$5021="Swivel")*('Projects Overview'!$G$2:$G$5021="Risk Release")*('Projects Overview'!U$2:U$5021))</f>
        <v>0</v>
      </c>
      <c r="M121" s="104" cm="1">
        <f t="array" ref="M121">SUMPRODUCT(('Projects Overview'!$B$2:$B$5021="Swivel")*('Projects Overview'!$G$2:$G$5021="Risk Release")*('Projects Overview'!V$2:V$5021))</f>
        <v>0</v>
      </c>
      <c r="N121" s="104" cm="1">
        <f t="array" ref="N121">SUMPRODUCT(('Projects Overview'!$B$2:$B$5021="Swivel")*('Projects Overview'!$G$2:$G$5021="Risk Release")*('Projects Overview'!W$2:W$5021))</f>
        <v>0</v>
      </c>
      <c r="O121" s="104" cm="1">
        <f t="array" ref="O121">SUMPRODUCT(('Projects Overview'!$B$2:$B$5021="Swivel")*('Projects Overview'!$G$2:$G$5021="Risk Release")*('Projects Overview'!X$2:X$5021))</f>
        <v>0</v>
      </c>
      <c r="P121" s="104" cm="1">
        <f t="array" ref="P121">SUMPRODUCT(('Projects Overview'!$B$2:$B$5021="Swivel")*('Projects Overview'!$G$2:$G$5021="Risk Release")*('Projects Overview'!Y$2:Y$5021))</f>
        <v>0</v>
      </c>
      <c r="Q121" s="104" cm="1">
        <f t="array" ref="Q121">SUMPRODUCT(('Projects Overview'!$B$2:$B$5021="Swivel")*('Projects Overview'!$G$2:$G$5021="Risk Release")*('Projects Overview'!Z$2:Z$5021))</f>
        <v>0</v>
      </c>
      <c r="R121" s="104" cm="1">
        <f t="array" ref="R121">SUMPRODUCT(('Projects Overview'!$B$2:$B$5021="Swivel")*('Projects Overview'!$G$2:$G$5021="Risk Release")*('Projects Overview'!AA$2:AA$5021))</f>
        <v>0</v>
      </c>
      <c r="S121" s="104" cm="1">
        <f t="array" ref="S121">SUMPRODUCT(('Projects Overview'!$B$2:$B$5021="Swivel")*('Projects Overview'!$G$2:$G$5021="Risk Release")*('Projects Overview'!AB$2:AB$5021))</f>
        <v>0</v>
      </c>
      <c r="T121" s="104" cm="1">
        <f t="array" ref="T121">SUMPRODUCT(('Projects Overview'!$B$2:$B$5021="Swivel")*('Projects Overview'!$G$2:$G$5021="Risk Release")*('Projects Overview'!AC$2:AC$5021))</f>
        <v>0</v>
      </c>
      <c r="U121" s="104" cm="1">
        <f t="array" ref="U121">SUMPRODUCT(('Projects Overview'!$B$2:$B$5021="Swivel")*('Projects Overview'!$G$2:$G$5021="Risk Release")*('Projects Overview'!AD$2:AD$5021))</f>
        <v>0</v>
      </c>
      <c r="V121" s="104" cm="1">
        <f t="array" ref="V121">SUMPRODUCT(('Projects Overview'!$B$2:$B$5021="Swivel")*('Projects Overview'!$G$2:$G$5021="Risk Release")*('Projects Overview'!AE$2:AE$5021))</f>
        <v>0</v>
      </c>
      <c r="W121" s="104" cm="1">
        <f t="array" ref="W121">SUMPRODUCT(('Projects Overview'!$B$2:$B$5021="Swivel")*('Projects Overview'!$G$2:$G$5021="Risk Release")*('Projects Overview'!AF$2:AF$5021))</f>
        <v>0</v>
      </c>
      <c r="X121" s="104" cm="1">
        <f t="array" ref="X121">SUMPRODUCT(('Projects Overview'!$B$2:$B$5021="Swivel")*('Projects Overview'!$G$2:$G$5021="Risk Release")*('Projects Overview'!AG$2:AG$5021))</f>
        <v>0</v>
      </c>
      <c r="Y121" s="104" cm="1">
        <f t="array" ref="Y121">SUMPRODUCT(('Projects Overview'!$B$2:$B$5021="Swivel")*('Projects Overview'!$G$2:$G$5021="Risk Release")*('Projects Overview'!AH$2:AH$5021))</f>
        <v>0</v>
      </c>
      <c r="Z121" s="104" cm="1">
        <f t="array" ref="Z121">SUMPRODUCT(('Projects Overview'!$B$2:$B$5021="Swivel")*('Projects Overview'!$G$2:$G$5021="Risk Release")*('Projects Overview'!AI$2:AI$5021))</f>
        <v>0</v>
      </c>
      <c r="AA121" s="104" cm="1">
        <f t="array" ref="AA121">SUMPRODUCT(('Projects Overview'!$B$2:$B$5021="Swivel")*('Projects Overview'!$G$2:$G$5021="Risk Release")*('Projects Overview'!AJ$2:AJ$5021))</f>
        <v>0</v>
      </c>
      <c r="AB121" s="104" cm="1">
        <f t="array" ref="AB121">SUMPRODUCT(('Projects Overview'!$B$2:$B$5021="Swivel")*('Projects Overview'!$G$2:$G$5021="Risk Release")*('Projects Overview'!AK$2:AK$5021))</f>
        <v>0</v>
      </c>
      <c r="AC121" s="104" cm="1">
        <f t="array" ref="AC121">SUMPRODUCT(('Projects Overview'!$B$2:$B$5021="Swivel")*('Projects Overview'!$G$2:$G$5021="Risk Release")*('Projects Overview'!AL$2:AL$5021))</f>
        <v>0</v>
      </c>
      <c r="AD121" s="104" cm="1">
        <f t="array" ref="AD121">SUMPRODUCT(('Projects Overview'!$B$2:$B$5021="Swivel")*('Projects Overview'!$G$2:$G$5021="Risk Release")*('Projects Overview'!AM$2:AM$5021))</f>
        <v>0</v>
      </c>
      <c r="AE121" s="104" cm="1">
        <f t="array" ref="AE121">SUMPRODUCT(('Projects Overview'!$B$2:$B$5021="Swivel")*('Projects Overview'!$G$2:$G$5021="Risk Release")*('Projects Overview'!AN$2:AN$5021))</f>
        <v>0</v>
      </c>
      <c r="AF121" s="104" cm="1">
        <f t="array" ref="AF121">SUMPRODUCT(('Projects Overview'!$B$2:$B$5021="Swivel")*('Projects Overview'!$G$2:$G$5021="Risk Release")*('Projects Overview'!AO$2:AO$5021))</f>
        <v>0</v>
      </c>
      <c r="AG121" s="104" cm="1">
        <f t="array" ref="AG121">SUMPRODUCT(('Projects Overview'!$B$2:$B$5021="Swivel")*('Projects Overview'!$G$2:$G$5021="Risk Release")*('Projects Overview'!AP$2:AP$5021))</f>
        <v>0</v>
      </c>
      <c r="AH121" s="104" cm="1">
        <f t="array" ref="AH121">SUMPRODUCT(('Projects Overview'!$B$2:$B$5021="Swivel")*('Projects Overview'!$G$2:$G$5021="Risk Release")*('Projects Overview'!AQ$2:AQ$5021))</f>
        <v>0</v>
      </c>
      <c r="AI121" s="104" cm="1">
        <f t="array" ref="AI121">SUMPRODUCT(('Projects Overview'!$B$2:$B$5021="Swivel")*('Projects Overview'!$G$2:$G$5021="Risk Release")*('Projects Overview'!AR$2:AR$5021))</f>
        <v>0</v>
      </c>
      <c r="AJ121" s="104" cm="1">
        <f t="array" ref="AJ121">SUMPRODUCT(('Projects Overview'!$B$2:$B$5021="Swivel")*('Projects Overview'!$G$2:$G$5021="Risk Release")*('Projects Overview'!AS$2:AS$5021))</f>
        <v>0</v>
      </c>
      <c r="AK121" s="104" cm="1">
        <f t="array" ref="AK121">SUMPRODUCT(('Projects Overview'!$B$2:$B$5021="Swivel")*('Projects Overview'!$G$2:$G$5021="Risk Release")*('Projects Overview'!AT$2:AT$5021))</f>
        <v>0</v>
      </c>
      <c r="AL121" s="104" cm="1">
        <f t="array" ref="AL121">SUMPRODUCT(('Projects Overview'!$B$2:$B$5021="Swivel")*('Projects Overview'!$G$2:$G$5021="Risk Release")*('Projects Overview'!AU$2:AU$5021))</f>
        <v>0</v>
      </c>
      <c r="AM121" s="104" cm="1">
        <f t="array" ref="AM121">SUMPRODUCT(('Projects Overview'!$B$2:$B$5021="Swivel")*('Projects Overview'!$G$2:$G$5021="Risk Release")*('Projects Overview'!AV$2:AV$5021))</f>
        <v>0</v>
      </c>
    </row>
    <row r="122" spans="1:39" x14ac:dyDescent="0.35">
      <c r="A122" s="222"/>
      <c r="B122" s="228"/>
      <c r="C122" s="3" t="s">
        <v>8</v>
      </c>
      <c r="D122" s="104">
        <v>0</v>
      </c>
      <c r="E122" s="104">
        <v>0</v>
      </c>
      <c r="F122" s="104">
        <v>0</v>
      </c>
      <c r="G122" s="104">
        <v>0</v>
      </c>
      <c r="H122" s="104">
        <v>0</v>
      </c>
      <c r="I122" s="104" cm="1">
        <f t="array" ref="I122">SUMPRODUCT(('Projects Overview'!$B$2:$B$5021="Swivel")*('Projects Overview'!$G$2:$G$5021="Forecast")*('Projects Overview'!R$2:R$5021))</f>
        <v>0</v>
      </c>
      <c r="J122" s="104" cm="1">
        <f t="array" ref="J122">SUMPRODUCT(('Projects Overview'!$B$2:$B$5021="Swivel")*('Projects Overview'!$G$2:$G$5021="Forecast")*('Projects Overview'!S$2:S$5021))</f>
        <v>0</v>
      </c>
      <c r="K122" s="104" cm="1">
        <f t="array" ref="K122">SUMPRODUCT(('Projects Overview'!$B$2:$B$5021="Swivel")*('Projects Overview'!$G$2:$G$5021="Forecast")*('Projects Overview'!T$2:T$5021))</f>
        <v>0</v>
      </c>
      <c r="L122" s="104" cm="1">
        <f t="array" ref="L122">SUMPRODUCT(('Projects Overview'!$B$2:$B$5021="Swivel")*('Projects Overview'!$G$2:$G$5021="Forecast")*('Projects Overview'!U$2:U$5021))</f>
        <v>0</v>
      </c>
      <c r="M122" s="104" cm="1">
        <f t="array" ref="M122">SUMPRODUCT(('Projects Overview'!$B$2:$B$5021="Swivel")*('Projects Overview'!$G$2:$G$5021="Forecast")*('Projects Overview'!V$2:V$5021))</f>
        <v>0</v>
      </c>
      <c r="N122" s="104" cm="1">
        <f t="array" ref="N122">SUMPRODUCT(('Projects Overview'!$B$2:$B$5021="Swivel")*('Projects Overview'!$G$2:$G$5021="Forecast")*('Projects Overview'!W$2:W$5021))</f>
        <v>0</v>
      </c>
      <c r="O122" s="104" cm="1">
        <f t="array" ref="O122">SUMPRODUCT(('Projects Overview'!$B$2:$B$5021="Swivel")*('Projects Overview'!$G$2:$G$5021="Forecast")*('Projects Overview'!X$2:X$5021))</f>
        <v>0</v>
      </c>
      <c r="P122" s="104" cm="1">
        <f t="array" ref="P122">SUMPRODUCT(('Projects Overview'!$B$2:$B$5021="Swivel")*('Projects Overview'!$G$2:$G$5021="Forecast")*('Projects Overview'!Y$2:Y$5021))</f>
        <v>0</v>
      </c>
      <c r="Q122" s="104" cm="1">
        <f t="array" ref="Q122">SUMPRODUCT(('Projects Overview'!$B$2:$B$5021="Swivel")*('Projects Overview'!$G$2:$G$5021="Forecast")*('Projects Overview'!Z$2:Z$5021))</f>
        <v>0</v>
      </c>
      <c r="R122" s="104" cm="1">
        <f t="array" ref="R122">SUMPRODUCT(('Projects Overview'!$B$2:$B$5021="Swivel")*('Projects Overview'!$G$2:$G$5021="Forecast")*('Projects Overview'!AA$2:AA$5021))</f>
        <v>0</v>
      </c>
      <c r="S122" s="104" cm="1">
        <f t="array" ref="S122">SUMPRODUCT(('Projects Overview'!$B$2:$B$5021="Swivel")*('Projects Overview'!$G$2:$G$5021="Forecast")*('Projects Overview'!AB$2:AB$5021))</f>
        <v>0</v>
      </c>
      <c r="T122" s="104" cm="1">
        <f t="array" ref="T122">SUMPRODUCT(('Projects Overview'!$B$2:$B$5021="Swivel")*('Projects Overview'!$G$2:$G$5021="Forecast")*('Projects Overview'!AC$2:AC$5021))</f>
        <v>0</v>
      </c>
      <c r="U122" s="104" cm="1">
        <f t="array" ref="U122">SUMPRODUCT(('Projects Overview'!$B$2:$B$5021="Swivel")*('Projects Overview'!$G$2:$G$5021="Forecast")*('Projects Overview'!AD$2:AD$5021))</f>
        <v>0</v>
      </c>
      <c r="V122" s="104" cm="1">
        <f t="array" ref="V122">SUMPRODUCT(('Projects Overview'!$B$2:$B$5021="Swivel")*('Projects Overview'!$G$2:$G$5021="Forecast")*('Projects Overview'!AE$2:AE$5021))</f>
        <v>0</v>
      </c>
      <c r="W122" s="104" cm="1">
        <f t="array" ref="W122">SUMPRODUCT(('Projects Overview'!$B$2:$B$5021="Swivel")*('Projects Overview'!$G$2:$G$5021="Forecast")*('Projects Overview'!AF$2:AF$5021))</f>
        <v>0</v>
      </c>
      <c r="X122" s="104" cm="1">
        <f t="array" ref="X122">SUMPRODUCT(('Projects Overview'!$B$2:$B$5021="Swivel")*('Projects Overview'!$G$2:$G$5021="Forecast")*('Projects Overview'!AG$2:AG$5021))</f>
        <v>0</v>
      </c>
      <c r="Y122" s="104" cm="1">
        <f t="array" ref="Y122">SUMPRODUCT(('Projects Overview'!$B$2:$B$5021="Swivel")*('Projects Overview'!$G$2:$G$5021="Forecast")*('Projects Overview'!AH$2:AH$5021))</f>
        <v>0</v>
      </c>
      <c r="Z122" s="104" cm="1">
        <f t="array" ref="Z122">SUMPRODUCT(('Projects Overview'!$B$2:$B$5021="Swivel")*('Projects Overview'!$G$2:$G$5021="Forecast")*('Projects Overview'!AI$2:AI$5021))</f>
        <v>0</v>
      </c>
      <c r="AA122" s="104" cm="1">
        <f t="array" ref="AA122">SUMPRODUCT(('Projects Overview'!$B$2:$B$5021="Swivel")*('Projects Overview'!$G$2:$G$5021="Forecast")*('Projects Overview'!AJ$2:AJ$5021))</f>
        <v>0</v>
      </c>
      <c r="AB122" s="104" cm="1">
        <f t="array" ref="AB122">SUMPRODUCT(('Projects Overview'!$B$2:$B$5021="Swivel")*('Projects Overview'!$G$2:$G$5021="Forecast")*('Projects Overview'!AK$2:AK$5021))</f>
        <v>0</v>
      </c>
      <c r="AC122" s="104" cm="1">
        <f t="array" ref="AC122">SUMPRODUCT(('Projects Overview'!$B$2:$B$5021="Swivel")*('Projects Overview'!$G$2:$G$5021="Forecast")*('Projects Overview'!AL$2:AL$5021))</f>
        <v>0</v>
      </c>
      <c r="AD122" s="104" cm="1">
        <f t="array" ref="AD122">SUMPRODUCT(('Projects Overview'!$B$2:$B$5021="Swivel")*('Projects Overview'!$G$2:$G$5021="Forecast")*('Projects Overview'!AM$2:AM$5021))</f>
        <v>0</v>
      </c>
      <c r="AE122" s="104" cm="1">
        <f t="array" ref="AE122">SUMPRODUCT(('Projects Overview'!$B$2:$B$5021="Swivel")*('Projects Overview'!$G$2:$G$5021="Forecast")*('Projects Overview'!AN$2:AN$5021))</f>
        <v>0</v>
      </c>
      <c r="AF122" s="104" cm="1">
        <f t="array" ref="AF122">SUMPRODUCT(('Projects Overview'!$B$2:$B$5021="Swivel")*('Projects Overview'!$G$2:$G$5021="Forecast")*('Projects Overview'!AO$2:AO$5021))</f>
        <v>0</v>
      </c>
      <c r="AG122" s="104" cm="1">
        <f t="array" ref="AG122">SUMPRODUCT(('Projects Overview'!$B$2:$B$5021="Swivel")*('Projects Overview'!$G$2:$G$5021="Forecast")*('Projects Overview'!AP$2:AP$5021))</f>
        <v>0</v>
      </c>
      <c r="AH122" s="104" cm="1">
        <f t="array" ref="AH122">SUMPRODUCT(('Projects Overview'!$B$2:$B$5021="Swivel")*('Projects Overview'!$G$2:$G$5021="Forecast")*('Projects Overview'!AQ$2:AQ$5021))</f>
        <v>0</v>
      </c>
      <c r="AI122" s="104" cm="1">
        <f t="array" ref="AI122">SUMPRODUCT(('Projects Overview'!$B$2:$B$5021="Swivel")*('Projects Overview'!$G$2:$G$5021="Forecast")*('Projects Overview'!AR$2:AR$5021))</f>
        <v>0</v>
      </c>
      <c r="AJ122" s="104" cm="1">
        <f t="array" ref="AJ122">SUMPRODUCT(('Projects Overview'!$B$2:$B$5021="Swivel")*('Projects Overview'!$G$2:$G$5021="Forecast")*('Projects Overview'!AS$2:AS$5021))</f>
        <v>0</v>
      </c>
      <c r="AK122" s="104" cm="1">
        <f t="array" ref="AK122">SUMPRODUCT(('Projects Overview'!$B$2:$B$5021="Swivel")*('Projects Overview'!$G$2:$G$5021="Forecast")*('Projects Overview'!AT$2:AT$5021))</f>
        <v>0</v>
      </c>
      <c r="AL122" s="104" cm="1">
        <f t="array" ref="AL122">SUMPRODUCT(('Projects Overview'!$B$2:$B$5021="Swivel")*('Projects Overview'!$G$2:$G$5021="Forecast")*('Projects Overview'!AU$2:AU$5021))</f>
        <v>0</v>
      </c>
      <c r="AM122" s="104" cm="1">
        <f t="array" ref="AM122">SUMPRODUCT(('Projects Overview'!$B$2:$B$5021="Swivel")*('Projects Overview'!$G$2:$G$5021="Forecast")*('Projects Overview'!AV$2:AV$5021))</f>
        <v>0</v>
      </c>
    </row>
    <row r="123" spans="1:39" x14ac:dyDescent="0.35">
      <c r="A123" s="222"/>
      <c r="B123" s="227" t="s">
        <v>172</v>
      </c>
      <c r="C123" s="4" t="s">
        <v>4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 cm="1">
        <f t="array" ref="I123">SUMPRODUCT(('Projects Overview'!$B$2:$B$5021="Bay Handling")*('Projects Overview'!$G$2:$G$5021="Firm")*('Projects Overview'!R$2:R$5021))</f>
        <v>0</v>
      </c>
      <c r="J123" s="104" cm="1">
        <f t="array" ref="J123">SUMPRODUCT(('Projects Overview'!$B$2:$B$5021="Bay Handling")*('Projects Overview'!$G$2:$G$5021="Firm")*('Projects Overview'!S$2:S$5021))</f>
        <v>0</v>
      </c>
      <c r="K123" s="104" cm="1">
        <f t="array" ref="K123">SUMPRODUCT(('Projects Overview'!$B$2:$B$5021="Bay Handling")*('Projects Overview'!$G$2:$G$5021="Firm")*('Projects Overview'!T$2:T$5021))</f>
        <v>0</v>
      </c>
      <c r="L123" s="104" cm="1">
        <f t="array" ref="L123">SUMPRODUCT(('Projects Overview'!$B$2:$B$5021="Bay Handling")*('Projects Overview'!$G$2:$G$5021="Firm")*('Projects Overview'!U$2:U$5021))</f>
        <v>0</v>
      </c>
      <c r="M123" s="104" cm="1">
        <f t="array" ref="M123">SUMPRODUCT(('Projects Overview'!$B$2:$B$5021="Bay Handling")*('Projects Overview'!$G$2:$G$5021="Firm")*('Projects Overview'!V$2:V$5021))</f>
        <v>0</v>
      </c>
      <c r="N123" s="104" cm="1">
        <f t="array" ref="N123">SUMPRODUCT(('Projects Overview'!$B$2:$B$5021="Bay Handling")*('Projects Overview'!$G$2:$G$5021="Firm")*('Projects Overview'!W$2:W$5021))</f>
        <v>0</v>
      </c>
      <c r="O123" s="104" cm="1">
        <f t="array" ref="O123">SUMPRODUCT(('Projects Overview'!$B$2:$B$5021="Bay Handling")*('Projects Overview'!$G$2:$G$5021="Firm")*('Projects Overview'!X$2:X$5021))</f>
        <v>0</v>
      </c>
      <c r="P123" s="104" cm="1">
        <f t="array" ref="P123">SUMPRODUCT(('Projects Overview'!$B$2:$B$5021="Bay Handling")*('Projects Overview'!$G$2:$G$5021="Firm")*('Projects Overview'!Y$2:Y$5021))</f>
        <v>0</v>
      </c>
      <c r="Q123" s="104" cm="1">
        <f t="array" ref="Q123">SUMPRODUCT(('Projects Overview'!$B$2:$B$5021="Bay Handling")*('Projects Overview'!$G$2:$G$5021="Firm")*('Projects Overview'!Z$2:Z$5021))</f>
        <v>0</v>
      </c>
      <c r="R123" s="104" cm="1">
        <f t="array" ref="R123">SUMPRODUCT(('Projects Overview'!$B$2:$B$5021="Bay Handling")*('Projects Overview'!$G$2:$G$5021="Firm")*('Projects Overview'!AA$2:AA$5021))</f>
        <v>0</v>
      </c>
      <c r="S123" s="104" cm="1">
        <f t="array" ref="S123">SUMPRODUCT(('Projects Overview'!$B$2:$B$5021="Bay Handling")*('Projects Overview'!$G$2:$G$5021="Firm")*('Projects Overview'!AB$2:AB$5021))</f>
        <v>0</v>
      </c>
      <c r="T123" s="104" cm="1">
        <f t="array" ref="T123">SUMPRODUCT(('Projects Overview'!$B$2:$B$5021="Bay Handling")*('Projects Overview'!$G$2:$G$5021="Firm")*('Projects Overview'!AC$2:AC$5021))</f>
        <v>0</v>
      </c>
      <c r="U123" s="104" cm="1">
        <f t="array" ref="U123">SUMPRODUCT(('Projects Overview'!$B$2:$B$5021="Bay Handling")*('Projects Overview'!$G$2:$G$5021="Firm")*('Projects Overview'!AD$2:AD$5021))</f>
        <v>0</v>
      </c>
      <c r="V123" s="104" cm="1">
        <f t="array" ref="V123">SUMPRODUCT(('Projects Overview'!$B$2:$B$5021="Bay Handling")*('Projects Overview'!$G$2:$G$5021="Firm")*('Projects Overview'!AE$2:AE$5021))</f>
        <v>0</v>
      </c>
      <c r="W123" s="104" cm="1">
        <f t="array" ref="W123">SUMPRODUCT(('Projects Overview'!$B$2:$B$5021="Bay Handling")*('Projects Overview'!$G$2:$G$5021="Firm")*('Projects Overview'!AF$2:AF$5021))</f>
        <v>0</v>
      </c>
      <c r="X123" s="104" cm="1">
        <f t="array" ref="X123">SUMPRODUCT(('Projects Overview'!$B$2:$B$5021="Bay Handling")*('Projects Overview'!$G$2:$G$5021="Firm")*('Projects Overview'!AG$2:AG$5021))</f>
        <v>0</v>
      </c>
      <c r="Y123" s="104" cm="1">
        <f t="array" ref="Y123">SUMPRODUCT(('Projects Overview'!$B$2:$B$5021="Bay Handling")*('Projects Overview'!$G$2:$G$5021="Firm")*('Projects Overview'!AH$2:AH$5021))</f>
        <v>0</v>
      </c>
      <c r="Z123" s="104" cm="1">
        <f t="array" ref="Z123">SUMPRODUCT(('Projects Overview'!$B$2:$B$5021="Bay Handling")*('Projects Overview'!$G$2:$G$5021="Firm")*('Projects Overview'!AI$2:AI$5021))</f>
        <v>0</v>
      </c>
      <c r="AA123" s="104" cm="1">
        <f t="array" ref="AA123">SUMPRODUCT(('Projects Overview'!$B$2:$B$5021="Bay Handling")*('Projects Overview'!$G$2:$G$5021="Firm")*('Projects Overview'!AJ$2:AJ$5021))</f>
        <v>0</v>
      </c>
      <c r="AB123" s="104" cm="1">
        <f t="array" ref="AB123">SUMPRODUCT(('Projects Overview'!$B$2:$B$5021="Bay Handling")*('Projects Overview'!$G$2:$G$5021="Firm")*('Projects Overview'!AK$2:AK$5021))</f>
        <v>0</v>
      </c>
      <c r="AC123" s="104" cm="1">
        <f t="array" ref="AC123">SUMPRODUCT(('Projects Overview'!$B$2:$B$5021="Bay Handling")*('Projects Overview'!$G$2:$G$5021="Firm")*('Projects Overview'!AL$2:AL$5021))</f>
        <v>0</v>
      </c>
      <c r="AD123" s="104" cm="1">
        <f t="array" ref="AD123">SUMPRODUCT(('Projects Overview'!$B$2:$B$5021="Bay Handling")*('Projects Overview'!$G$2:$G$5021="Firm")*('Projects Overview'!AM$2:AM$5021))</f>
        <v>0</v>
      </c>
      <c r="AE123" s="104" cm="1">
        <f t="array" ref="AE123">SUMPRODUCT(('Projects Overview'!$B$2:$B$5021="Bay Handling")*('Projects Overview'!$G$2:$G$5021="Firm")*('Projects Overview'!AN$2:AN$5021))</f>
        <v>0</v>
      </c>
      <c r="AF123" s="104" cm="1">
        <f t="array" ref="AF123">SUMPRODUCT(('Projects Overview'!$B$2:$B$5021="Bay Handling")*('Projects Overview'!$G$2:$G$5021="Firm")*('Projects Overview'!AO$2:AO$5021))</f>
        <v>0</v>
      </c>
      <c r="AG123" s="104" cm="1">
        <f t="array" ref="AG123">SUMPRODUCT(('Projects Overview'!$B$2:$B$5021="Bay Handling")*('Projects Overview'!$G$2:$G$5021="Firm")*('Projects Overview'!AP$2:AP$5021))</f>
        <v>0</v>
      </c>
      <c r="AH123" s="104" cm="1">
        <f t="array" ref="AH123">SUMPRODUCT(('Projects Overview'!$B$2:$B$5021="Bay Handling")*('Projects Overview'!$G$2:$G$5021="Firm")*('Projects Overview'!AQ$2:AQ$5021))</f>
        <v>0</v>
      </c>
      <c r="AI123" s="104" cm="1">
        <f t="array" ref="AI123">SUMPRODUCT(('Projects Overview'!$B$2:$B$5021="Bay Handling")*('Projects Overview'!$G$2:$G$5021="Firm")*('Projects Overview'!AR$2:AR$5021))</f>
        <v>0</v>
      </c>
      <c r="AJ123" s="104" cm="1">
        <f t="array" ref="AJ123">SUMPRODUCT(('Projects Overview'!$B$2:$B$5021="Bay Handling")*('Projects Overview'!$G$2:$G$5021="Firm")*('Projects Overview'!AS$2:AS$5021))</f>
        <v>0</v>
      </c>
      <c r="AK123" s="104" cm="1">
        <f t="array" ref="AK123">SUMPRODUCT(('Projects Overview'!$B$2:$B$5021="Bay Handling")*('Projects Overview'!$G$2:$G$5021="Firm")*('Projects Overview'!AT$2:AT$5021))</f>
        <v>0</v>
      </c>
      <c r="AL123" s="104" cm="1">
        <f t="array" ref="AL123">SUMPRODUCT(('Projects Overview'!$B$2:$B$5021="Bay Handling")*('Projects Overview'!$G$2:$G$5021="Firm")*('Projects Overview'!AU$2:AU$5021))</f>
        <v>0</v>
      </c>
      <c r="AM123" s="104" cm="1">
        <f t="array" ref="AM123">SUMPRODUCT(('Projects Overview'!$B$2:$B$5021="Bay Handling")*('Projects Overview'!$G$2:$G$5021="Firm")*('Projects Overview'!AV$2:AV$5021))</f>
        <v>0</v>
      </c>
    </row>
    <row r="124" spans="1:39" x14ac:dyDescent="0.35">
      <c r="A124" s="222"/>
      <c r="B124" s="227"/>
      <c r="C124" s="2" t="s">
        <v>6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 cm="1">
        <f t="array" ref="I124">SUMPRODUCT(('Projects Overview'!$B$2:$B$5021="Bay Handling")*('Projects Overview'!$G$2:$G$5021="Risk Release")*('Projects Overview'!R$2:R$5021))</f>
        <v>0</v>
      </c>
      <c r="J124" s="104" cm="1">
        <f t="array" ref="J124">SUMPRODUCT(('Projects Overview'!$B$2:$B$5021="Bay Handling")*('Projects Overview'!$G$2:$G$5021="Risk Release")*('Projects Overview'!S$2:S$5021))</f>
        <v>0</v>
      </c>
      <c r="K124" s="104" cm="1">
        <f t="array" ref="K124">SUMPRODUCT(('Projects Overview'!$B$2:$B$5021="Bay Handling")*('Projects Overview'!$G$2:$G$5021="Risk Release")*('Projects Overview'!T$2:T$5021))</f>
        <v>0</v>
      </c>
      <c r="L124" s="104" cm="1">
        <f t="array" ref="L124">SUMPRODUCT(('Projects Overview'!$B$2:$B$5021="Bay Handling")*('Projects Overview'!$G$2:$G$5021="Risk Release")*('Projects Overview'!U$2:U$5021))</f>
        <v>0</v>
      </c>
      <c r="M124" s="104" cm="1">
        <f t="array" ref="M124">SUMPRODUCT(('Projects Overview'!$B$2:$B$5021="Bay Handling")*('Projects Overview'!$G$2:$G$5021="Risk Release")*('Projects Overview'!V$2:V$5021))</f>
        <v>0</v>
      </c>
      <c r="N124" s="104" cm="1">
        <f t="array" ref="N124">SUMPRODUCT(('Projects Overview'!$B$2:$B$5021="Bay Handling")*('Projects Overview'!$G$2:$G$5021="Risk Release")*('Projects Overview'!W$2:W$5021))</f>
        <v>0</v>
      </c>
      <c r="O124" s="104" cm="1">
        <f t="array" ref="O124">SUMPRODUCT(('Projects Overview'!$B$2:$B$5021="Bay Handling")*('Projects Overview'!$G$2:$G$5021="Risk Release")*('Projects Overview'!X$2:X$5021))</f>
        <v>0</v>
      </c>
      <c r="P124" s="104" cm="1">
        <f t="array" ref="P124">SUMPRODUCT(('Projects Overview'!$B$2:$B$5021="Bay Handling")*('Projects Overview'!$G$2:$G$5021="Risk Release")*('Projects Overview'!Y$2:Y$5021))</f>
        <v>0</v>
      </c>
      <c r="Q124" s="104" cm="1">
        <f t="array" ref="Q124">SUMPRODUCT(('Projects Overview'!$B$2:$B$5021="Bay Handling")*('Projects Overview'!$G$2:$G$5021="Risk Release")*('Projects Overview'!Z$2:Z$5021))</f>
        <v>0</v>
      </c>
      <c r="R124" s="104" cm="1">
        <f t="array" ref="R124">SUMPRODUCT(('Projects Overview'!$B$2:$B$5021="Bay Handling")*('Projects Overview'!$G$2:$G$5021="Risk Release")*('Projects Overview'!AA$2:AA$5021))</f>
        <v>0</v>
      </c>
      <c r="S124" s="104" cm="1">
        <f t="array" ref="S124">SUMPRODUCT(('Projects Overview'!$B$2:$B$5021="Bay Handling")*('Projects Overview'!$G$2:$G$5021="Risk Release")*('Projects Overview'!AB$2:AB$5021))</f>
        <v>0</v>
      </c>
      <c r="T124" s="104" cm="1">
        <f t="array" ref="T124">SUMPRODUCT(('Projects Overview'!$B$2:$B$5021="Bay Handling")*('Projects Overview'!$G$2:$G$5021="Risk Release")*('Projects Overview'!AC$2:AC$5021))</f>
        <v>0</v>
      </c>
      <c r="U124" s="104" cm="1">
        <f t="array" ref="U124">SUMPRODUCT(('Projects Overview'!$B$2:$B$5021="Bay Handling")*('Projects Overview'!$G$2:$G$5021="Risk Release")*('Projects Overview'!AD$2:AD$5021))</f>
        <v>0</v>
      </c>
      <c r="V124" s="104" cm="1">
        <f t="array" ref="V124">SUMPRODUCT(('Projects Overview'!$B$2:$B$5021="Bay Handling")*('Projects Overview'!$G$2:$G$5021="Risk Release")*('Projects Overview'!AE$2:AE$5021))</f>
        <v>0</v>
      </c>
      <c r="W124" s="104" cm="1">
        <f t="array" ref="W124">SUMPRODUCT(('Projects Overview'!$B$2:$B$5021="Bay Handling")*('Projects Overview'!$G$2:$G$5021="Risk Release")*('Projects Overview'!AF$2:AF$5021))</f>
        <v>0</v>
      </c>
      <c r="X124" s="104" cm="1">
        <f t="array" ref="X124">SUMPRODUCT(('Projects Overview'!$B$2:$B$5021="Bay Handling")*('Projects Overview'!$G$2:$G$5021="Risk Release")*('Projects Overview'!AG$2:AG$5021))</f>
        <v>0</v>
      </c>
      <c r="Y124" s="104" cm="1">
        <f t="array" ref="Y124">SUMPRODUCT(('Projects Overview'!$B$2:$B$5021="Bay Handling")*('Projects Overview'!$G$2:$G$5021="Risk Release")*('Projects Overview'!AH$2:AH$5021))</f>
        <v>0</v>
      </c>
      <c r="Z124" s="104" cm="1">
        <f t="array" ref="Z124">SUMPRODUCT(('Projects Overview'!$B$2:$B$5021="Bay Handling")*('Projects Overview'!$G$2:$G$5021="Risk Release")*('Projects Overview'!AI$2:AI$5021))</f>
        <v>0</v>
      </c>
      <c r="AA124" s="104" cm="1">
        <f t="array" ref="AA124">SUMPRODUCT(('Projects Overview'!$B$2:$B$5021="Bay Handling")*('Projects Overview'!$G$2:$G$5021="Risk Release")*('Projects Overview'!AJ$2:AJ$5021))</f>
        <v>0</v>
      </c>
      <c r="AB124" s="104" cm="1">
        <f t="array" ref="AB124">SUMPRODUCT(('Projects Overview'!$B$2:$B$5021="Bay Handling")*('Projects Overview'!$G$2:$G$5021="Risk Release")*('Projects Overview'!AK$2:AK$5021))</f>
        <v>0</v>
      </c>
      <c r="AC124" s="104" cm="1">
        <f t="array" ref="AC124">SUMPRODUCT(('Projects Overview'!$B$2:$B$5021="Bay Handling")*('Projects Overview'!$G$2:$G$5021="Risk Release")*('Projects Overview'!AL$2:AL$5021))</f>
        <v>0</v>
      </c>
      <c r="AD124" s="104" cm="1">
        <f t="array" ref="AD124">SUMPRODUCT(('Projects Overview'!$B$2:$B$5021="Bay Handling")*('Projects Overview'!$G$2:$G$5021="Risk Release")*('Projects Overview'!AM$2:AM$5021))</f>
        <v>0</v>
      </c>
      <c r="AE124" s="104" cm="1">
        <f t="array" ref="AE124">SUMPRODUCT(('Projects Overview'!$B$2:$B$5021="Bay Handling")*('Projects Overview'!$G$2:$G$5021="Risk Release")*('Projects Overview'!AN$2:AN$5021))</f>
        <v>0</v>
      </c>
      <c r="AF124" s="104" cm="1">
        <f t="array" ref="AF124">SUMPRODUCT(('Projects Overview'!$B$2:$B$5021="Bay Handling")*('Projects Overview'!$G$2:$G$5021="Risk Release")*('Projects Overview'!AO$2:AO$5021))</f>
        <v>0</v>
      </c>
      <c r="AG124" s="104" cm="1">
        <f t="array" ref="AG124">SUMPRODUCT(('Projects Overview'!$B$2:$B$5021="Bay Handling")*('Projects Overview'!$G$2:$G$5021="Risk Release")*('Projects Overview'!AP$2:AP$5021))</f>
        <v>0</v>
      </c>
      <c r="AH124" s="104" cm="1">
        <f t="array" ref="AH124">SUMPRODUCT(('Projects Overview'!$B$2:$B$5021="Bay Handling")*('Projects Overview'!$G$2:$G$5021="Risk Release")*('Projects Overview'!AQ$2:AQ$5021))</f>
        <v>0</v>
      </c>
      <c r="AI124" s="104" cm="1">
        <f t="array" ref="AI124">SUMPRODUCT(('Projects Overview'!$B$2:$B$5021="Bay Handling")*('Projects Overview'!$G$2:$G$5021="Risk Release")*('Projects Overview'!AR$2:AR$5021))</f>
        <v>0</v>
      </c>
      <c r="AJ124" s="104" cm="1">
        <f t="array" ref="AJ124">SUMPRODUCT(('Projects Overview'!$B$2:$B$5021="Bay Handling")*('Projects Overview'!$G$2:$G$5021="Risk Release")*('Projects Overview'!AS$2:AS$5021))</f>
        <v>0</v>
      </c>
      <c r="AK124" s="104" cm="1">
        <f t="array" ref="AK124">SUMPRODUCT(('Projects Overview'!$B$2:$B$5021="Bay Handling")*('Projects Overview'!$G$2:$G$5021="Risk Release")*('Projects Overview'!AT$2:AT$5021))</f>
        <v>0</v>
      </c>
      <c r="AL124" s="104" cm="1">
        <f t="array" ref="AL124">SUMPRODUCT(('Projects Overview'!$B$2:$B$5021="Bay Handling")*('Projects Overview'!$G$2:$G$5021="Risk Release")*('Projects Overview'!AU$2:AU$5021))</f>
        <v>0</v>
      </c>
      <c r="AM124" s="104" cm="1">
        <f t="array" ref="AM124">SUMPRODUCT(('Projects Overview'!$B$2:$B$5021="Bay Handling")*('Projects Overview'!$G$2:$G$5021="Risk Release")*('Projects Overview'!AV$2:AV$5021))</f>
        <v>0</v>
      </c>
    </row>
    <row r="125" spans="1:39" x14ac:dyDescent="0.35">
      <c r="A125" s="222"/>
      <c r="B125" s="228"/>
      <c r="C125" s="3" t="s">
        <v>8</v>
      </c>
      <c r="D125" s="104">
        <v>0</v>
      </c>
      <c r="E125" s="104">
        <v>0</v>
      </c>
      <c r="F125" s="104">
        <v>0</v>
      </c>
      <c r="G125" s="104">
        <v>0</v>
      </c>
      <c r="H125" s="104">
        <v>0</v>
      </c>
      <c r="I125" s="104" cm="1">
        <f t="array" ref="I125">SUMPRODUCT(('Projects Overview'!$B$2:$B$5021="Bay Handling")*('Projects Overview'!$G$2:$G$5021="Forecast")*('Projects Overview'!R$2:R$5021))</f>
        <v>0</v>
      </c>
      <c r="J125" s="104" cm="1">
        <f t="array" ref="J125">SUMPRODUCT(('Projects Overview'!$B$2:$B$5021="Bay Handling")*('Projects Overview'!$G$2:$G$5021="Forecast")*('Projects Overview'!S$2:S$5021))</f>
        <v>0</v>
      </c>
      <c r="K125" s="104" cm="1">
        <f t="array" ref="K125">SUMPRODUCT(('Projects Overview'!$B$2:$B$5021="Bay Handling")*('Projects Overview'!$G$2:$G$5021="Forecast")*('Projects Overview'!T$2:T$5021))</f>
        <v>0</v>
      </c>
      <c r="L125" s="104" cm="1">
        <f t="array" ref="L125">SUMPRODUCT(('Projects Overview'!$B$2:$B$5021="Bay Handling")*('Projects Overview'!$G$2:$G$5021="Forecast")*('Projects Overview'!U$2:U$5021))</f>
        <v>0</v>
      </c>
      <c r="M125" s="104" cm="1">
        <f t="array" ref="M125">SUMPRODUCT(('Projects Overview'!$B$2:$B$5021="Bay Handling")*('Projects Overview'!$G$2:$G$5021="Forecast")*('Projects Overview'!V$2:V$5021))</f>
        <v>0</v>
      </c>
      <c r="N125" s="104" cm="1">
        <f t="array" ref="N125">SUMPRODUCT(('Projects Overview'!$B$2:$B$5021="Bay Handling")*('Projects Overview'!$G$2:$G$5021="Forecast")*('Projects Overview'!W$2:W$5021))</f>
        <v>0</v>
      </c>
      <c r="O125" s="104" cm="1">
        <f t="array" ref="O125">SUMPRODUCT(('Projects Overview'!$B$2:$B$5021="Bay Handling")*('Projects Overview'!$G$2:$G$5021="Forecast")*('Projects Overview'!X$2:X$5021))</f>
        <v>0</v>
      </c>
      <c r="P125" s="104" cm="1">
        <f t="array" ref="P125">SUMPRODUCT(('Projects Overview'!$B$2:$B$5021="Bay Handling")*('Projects Overview'!$G$2:$G$5021="Forecast")*('Projects Overview'!Y$2:Y$5021))</f>
        <v>0</v>
      </c>
      <c r="Q125" s="104" cm="1">
        <f t="array" ref="Q125">SUMPRODUCT(('Projects Overview'!$B$2:$B$5021="Bay Handling")*('Projects Overview'!$G$2:$G$5021="Forecast")*('Projects Overview'!Z$2:Z$5021))</f>
        <v>0</v>
      </c>
      <c r="R125" s="104" cm="1">
        <f t="array" ref="R125">SUMPRODUCT(('Projects Overview'!$B$2:$B$5021="Bay Handling")*('Projects Overview'!$G$2:$G$5021="Forecast")*('Projects Overview'!AA$2:AA$5021))</f>
        <v>0</v>
      </c>
      <c r="S125" s="104" cm="1">
        <f t="array" ref="S125">SUMPRODUCT(('Projects Overview'!$B$2:$B$5021="Bay Handling")*('Projects Overview'!$G$2:$G$5021="Forecast")*('Projects Overview'!AB$2:AB$5021))</f>
        <v>0</v>
      </c>
      <c r="T125" s="104" cm="1">
        <f t="array" ref="T125">SUMPRODUCT(('Projects Overview'!$B$2:$B$5021="Bay Handling")*('Projects Overview'!$G$2:$G$5021="Forecast")*('Projects Overview'!AC$2:AC$5021))</f>
        <v>0</v>
      </c>
      <c r="U125" s="104" cm="1">
        <f t="array" ref="U125">SUMPRODUCT(('Projects Overview'!$B$2:$B$5021="Bay Handling")*('Projects Overview'!$G$2:$G$5021="Forecast")*('Projects Overview'!AD$2:AD$5021))</f>
        <v>0</v>
      </c>
      <c r="V125" s="104" cm="1">
        <f t="array" ref="V125">SUMPRODUCT(('Projects Overview'!$B$2:$B$5021="Bay Handling")*('Projects Overview'!$G$2:$G$5021="Forecast")*('Projects Overview'!AE$2:AE$5021))</f>
        <v>0</v>
      </c>
      <c r="W125" s="104" cm="1">
        <f t="array" ref="W125">SUMPRODUCT(('Projects Overview'!$B$2:$B$5021="Bay Handling")*('Projects Overview'!$G$2:$G$5021="Forecast")*('Projects Overview'!AF$2:AF$5021))</f>
        <v>0</v>
      </c>
      <c r="X125" s="104" cm="1">
        <f t="array" ref="X125">SUMPRODUCT(('Projects Overview'!$B$2:$B$5021="Bay Handling")*('Projects Overview'!$G$2:$G$5021="Forecast")*('Projects Overview'!AG$2:AG$5021))</f>
        <v>0</v>
      </c>
      <c r="Y125" s="104" cm="1">
        <f t="array" ref="Y125">SUMPRODUCT(('Projects Overview'!$B$2:$B$5021="Bay Handling")*('Projects Overview'!$G$2:$G$5021="Forecast")*('Projects Overview'!AH$2:AH$5021))</f>
        <v>0</v>
      </c>
      <c r="Z125" s="104" cm="1">
        <f t="array" ref="Z125">SUMPRODUCT(('Projects Overview'!$B$2:$B$5021="Bay Handling")*('Projects Overview'!$G$2:$G$5021="Forecast")*('Projects Overview'!AI$2:AI$5021))</f>
        <v>0</v>
      </c>
      <c r="AA125" s="104" cm="1">
        <f t="array" ref="AA125">SUMPRODUCT(('Projects Overview'!$B$2:$B$5021="Bay Handling")*('Projects Overview'!$G$2:$G$5021="Forecast")*('Projects Overview'!AJ$2:AJ$5021))</f>
        <v>0</v>
      </c>
      <c r="AB125" s="104" cm="1">
        <f t="array" ref="AB125">SUMPRODUCT(('Projects Overview'!$B$2:$B$5021="Bay Handling")*('Projects Overview'!$G$2:$G$5021="Forecast")*('Projects Overview'!AK$2:AK$5021))</f>
        <v>0</v>
      </c>
      <c r="AC125" s="104" cm="1">
        <f t="array" ref="AC125">SUMPRODUCT(('Projects Overview'!$B$2:$B$5021="Bay Handling")*('Projects Overview'!$G$2:$G$5021="Forecast")*('Projects Overview'!AL$2:AL$5021))</f>
        <v>0</v>
      </c>
      <c r="AD125" s="104" cm="1">
        <f t="array" ref="AD125">SUMPRODUCT(('Projects Overview'!$B$2:$B$5021="Bay Handling")*('Projects Overview'!$G$2:$G$5021="Forecast")*('Projects Overview'!AM$2:AM$5021))</f>
        <v>0</v>
      </c>
      <c r="AE125" s="104" cm="1">
        <f t="array" ref="AE125">SUMPRODUCT(('Projects Overview'!$B$2:$B$5021="Bay Handling")*('Projects Overview'!$G$2:$G$5021="Forecast")*('Projects Overview'!AN$2:AN$5021))</f>
        <v>0</v>
      </c>
      <c r="AF125" s="104" cm="1">
        <f t="array" ref="AF125">SUMPRODUCT(('Projects Overview'!$B$2:$B$5021="Bay Handling")*('Projects Overview'!$G$2:$G$5021="Forecast")*('Projects Overview'!AO$2:AO$5021))</f>
        <v>0</v>
      </c>
      <c r="AG125" s="104" cm="1">
        <f t="array" ref="AG125">SUMPRODUCT(('Projects Overview'!$B$2:$B$5021="Bay Handling")*('Projects Overview'!$G$2:$G$5021="Forecast")*('Projects Overview'!AP$2:AP$5021))</f>
        <v>0</v>
      </c>
      <c r="AH125" s="104" cm="1">
        <f t="array" ref="AH125">SUMPRODUCT(('Projects Overview'!$B$2:$B$5021="Bay Handling")*('Projects Overview'!$G$2:$G$5021="Forecast")*('Projects Overview'!AQ$2:AQ$5021))</f>
        <v>0</v>
      </c>
      <c r="AI125" s="104" cm="1">
        <f t="array" ref="AI125">SUMPRODUCT(('Projects Overview'!$B$2:$B$5021="Bay Handling")*('Projects Overview'!$G$2:$G$5021="Forecast")*('Projects Overview'!AR$2:AR$5021))</f>
        <v>0</v>
      </c>
      <c r="AJ125" s="104" cm="1">
        <f t="array" ref="AJ125">SUMPRODUCT(('Projects Overview'!$B$2:$B$5021="Bay Handling")*('Projects Overview'!$G$2:$G$5021="Forecast")*('Projects Overview'!AS$2:AS$5021))</f>
        <v>0</v>
      </c>
      <c r="AK125" s="104" cm="1">
        <f t="array" ref="AK125">SUMPRODUCT(('Projects Overview'!$B$2:$B$5021="Bay Handling")*('Projects Overview'!$G$2:$G$5021="Forecast")*('Projects Overview'!AT$2:AT$5021))</f>
        <v>0</v>
      </c>
      <c r="AL125" s="104" cm="1">
        <f t="array" ref="AL125">SUMPRODUCT(('Projects Overview'!$B$2:$B$5021="Bay Handling")*('Projects Overview'!$G$2:$G$5021="Forecast")*('Projects Overview'!AU$2:AU$5021))</f>
        <v>0</v>
      </c>
      <c r="AM125" s="104" cm="1">
        <f t="array" ref="AM125">SUMPRODUCT(('Projects Overview'!$B$2:$B$5021="Bay Handling")*('Projects Overview'!$G$2:$G$5021="Forecast")*('Projects Overview'!AV$2:AV$5021))</f>
        <v>0</v>
      </c>
    </row>
    <row r="126" spans="1:39" x14ac:dyDescent="0.35">
      <c r="A126" s="222"/>
      <c r="B126" s="227" t="s">
        <v>174</v>
      </c>
      <c r="C126" s="4" t="s">
        <v>4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 cm="1">
        <f t="array" ref="I126">SUMPRODUCT(('Projects Overview'!$B$2:$B$5021="Tensioner")*('Projects Overview'!$G$2:$G$5021="Firm")*('Projects Overview'!R$2:R$5021))</f>
        <v>0</v>
      </c>
      <c r="J126" s="104" cm="1">
        <f t="array" ref="J126">SUMPRODUCT(('Projects Overview'!$B$2:$B$5021="Tensioner")*('Projects Overview'!$G$2:$G$5021="Firm")*('Projects Overview'!S$2:S$5021))</f>
        <v>0</v>
      </c>
      <c r="K126" s="104" cm="1">
        <f t="array" ref="K126">SUMPRODUCT(('Projects Overview'!$B$2:$B$5021="Tensioner")*('Projects Overview'!$G$2:$G$5021="Firm")*('Projects Overview'!T$2:T$5021))</f>
        <v>0</v>
      </c>
      <c r="L126" s="104" cm="1">
        <f t="array" ref="L126">SUMPRODUCT(('Projects Overview'!$B$2:$B$5021="Tensioner")*('Projects Overview'!$G$2:$G$5021="Firm")*('Projects Overview'!U$2:U$5021))</f>
        <v>0</v>
      </c>
      <c r="M126" s="104" cm="1">
        <f t="array" ref="M126">SUMPRODUCT(('Projects Overview'!$B$2:$B$5021="Tensioner")*('Projects Overview'!$G$2:$G$5021="Firm")*('Projects Overview'!V$2:V$5021))</f>
        <v>0</v>
      </c>
      <c r="N126" s="104" cm="1">
        <f t="array" ref="N126">SUMPRODUCT(('Projects Overview'!$B$2:$B$5021="Tensioner")*('Projects Overview'!$G$2:$G$5021="Firm")*('Projects Overview'!W$2:W$5021))</f>
        <v>0</v>
      </c>
      <c r="O126" s="104" cm="1">
        <f t="array" ref="O126">SUMPRODUCT(('Projects Overview'!$B$2:$B$5021="Tensioner")*('Projects Overview'!$G$2:$G$5021="Firm")*('Projects Overview'!X$2:X$5021))</f>
        <v>0</v>
      </c>
      <c r="P126" s="104" cm="1">
        <f t="array" ref="P126">SUMPRODUCT(('Projects Overview'!$B$2:$B$5021="Tensioner")*('Projects Overview'!$G$2:$G$5021="Firm")*('Projects Overview'!Y$2:Y$5021))</f>
        <v>0</v>
      </c>
      <c r="Q126" s="104" cm="1">
        <f t="array" ref="Q126">SUMPRODUCT(('Projects Overview'!$B$2:$B$5021="Tensioner")*('Projects Overview'!$G$2:$G$5021="Firm")*('Projects Overview'!Z$2:Z$5021))</f>
        <v>0</v>
      </c>
      <c r="R126" s="104" cm="1">
        <f t="array" ref="R126">SUMPRODUCT(('Projects Overview'!$B$2:$B$5021="Tensioner")*('Projects Overview'!$G$2:$G$5021="Firm")*('Projects Overview'!AA$2:AA$5021))</f>
        <v>0</v>
      </c>
      <c r="S126" s="104" cm="1">
        <f t="array" ref="S126">SUMPRODUCT(('Projects Overview'!$B$2:$B$5021="Tensioner")*('Projects Overview'!$G$2:$G$5021="Firm")*('Projects Overview'!AB$2:AB$5021))</f>
        <v>0</v>
      </c>
      <c r="T126" s="104" cm="1">
        <f t="array" ref="T126">SUMPRODUCT(('Projects Overview'!$B$2:$B$5021="Tensioner")*('Projects Overview'!$G$2:$G$5021="Firm")*('Projects Overview'!AC$2:AC$5021))</f>
        <v>0</v>
      </c>
      <c r="U126" s="104" cm="1">
        <f t="array" ref="U126">SUMPRODUCT(('Projects Overview'!$B$2:$B$5021="Tensioner")*('Projects Overview'!$G$2:$G$5021="Firm")*('Projects Overview'!AD$2:AD$5021))</f>
        <v>0</v>
      </c>
      <c r="V126" s="104" cm="1">
        <f t="array" ref="V126">SUMPRODUCT(('Projects Overview'!$B$2:$B$5021="Tensioner")*('Projects Overview'!$G$2:$G$5021="Firm")*('Projects Overview'!AE$2:AE$5021))</f>
        <v>0</v>
      </c>
      <c r="W126" s="104" cm="1">
        <f t="array" ref="W126">SUMPRODUCT(('Projects Overview'!$B$2:$B$5021="Tensioner")*('Projects Overview'!$G$2:$G$5021="Firm")*('Projects Overview'!AF$2:AF$5021))</f>
        <v>0</v>
      </c>
      <c r="X126" s="104" cm="1">
        <f t="array" ref="X126">SUMPRODUCT(('Projects Overview'!$B$2:$B$5021="Tensioner")*('Projects Overview'!$G$2:$G$5021="Firm")*('Projects Overview'!AG$2:AG$5021))</f>
        <v>0</v>
      </c>
      <c r="Y126" s="104" cm="1">
        <f t="array" ref="Y126">SUMPRODUCT(('Projects Overview'!$B$2:$B$5021="Tensioner")*('Projects Overview'!$G$2:$G$5021="Firm")*('Projects Overview'!AH$2:AH$5021))</f>
        <v>0</v>
      </c>
      <c r="Z126" s="104" cm="1">
        <f t="array" ref="Z126">SUMPRODUCT(('Projects Overview'!$B$2:$B$5021="Tensioner")*('Projects Overview'!$G$2:$G$5021="Firm")*('Projects Overview'!AI$2:AI$5021))</f>
        <v>0</v>
      </c>
      <c r="AA126" s="104" cm="1">
        <f t="array" ref="AA126">SUMPRODUCT(('Projects Overview'!$B$2:$B$5021="Tensioner")*('Projects Overview'!$G$2:$G$5021="Firm")*('Projects Overview'!AJ$2:AJ$5021))</f>
        <v>0</v>
      </c>
      <c r="AB126" s="104" cm="1">
        <f t="array" ref="AB126">SUMPRODUCT(('Projects Overview'!$B$2:$B$5021="Tensioner")*('Projects Overview'!$G$2:$G$5021="Firm")*('Projects Overview'!AK$2:AK$5021))</f>
        <v>0</v>
      </c>
      <c r="AC126" s="104" cm="1">
        <f t="array" ref="AC126">SUMPRODUCT(('Projects Overview'!$B$2:$B$5021="Tensioner")*('Projects Overview'!$G$2:$G$5021="Firm")*('Projects Overview'!AL$2:AL$5021))</f>
        <v>0</v>
      </c>
      <c r="AD126" s="104" cm="1">
        <f t="array" ref="AD126">SUMPRODUCT(('Projects Overview'!$B$2:$B$5021="Tensioner")*('Projects Overview'!$G$2:$G$5021="Firm")*('Projects Overview'!AM$2:AM$5021))</f>
        <v>0</v>
      </c>
      <c r="AE126" s="104" cm="1">
        <f t="array" ref="AE126">SUMPRODUCT(('Projects Overview'!$B$2:$B$5021="Tensioner")*('Projects Overview'!$G$2:$G$5021="Firm")*('Projects Overview'!AN$2:AN$5021))</f>
        <v>0</v>
      </c>
      <c r="AF126" s="104" cm="1">
        <f t="array" ref="AF126">SUMPRODUCT(('Projects Overview'!$B$2:$B$5021="Tensioner")*('Projects Overview'!$G$2:$G$5021="Firm")*('Projects Overview'!AO$2:AO$5021))</f>
        <v>0</v>
      </c>
      <c r="AG126" s="104" cm="1">
        <f t="array" ref="AG126">SUMPRODUCT(('Projects Overview'!$B$2:$B$5021="Tensioner")*('Projects Overview'!$G$2:$G$5021="Firm")*('Projects Overview'!AP$2:AP$5021))</f>
        <v>0</v>
      </c>
      <c r="AH126" s="104" cm="1">
        <f t="array" ref="AH126">SUMPRODUCT(('Projects Overview'!$B$2:$B$5021="Tensioner")*('Projects Overview'!$G$2:$G$5021="Firm")*('Projects Overview'!AQ$2:AQ$5021))</f>
        <v>0</v>
      </c>
      <c r="AI126" s="104" cm="1">
        <f t="array" ref="AI126">SUMPRODUCT(('Projects Overview'!$B$2:$B$5021="Tensioner")*('Projects Overview'!$G$2:$G$5021="Firm")*('Projects Overview'!AR$2:AR$5021))</f>
        <v>0</v>
      </c>
      <c r="AJ126" s="104" cm="1">
        <f t="array" ref="AJ126">SUMPRODUCT(('Projects Overview'!$B$2:$B$5021="Tensioner")*('Projects Overview'!$G$2:$G$5021="Firm")*('Projects Overview'!AS$2:AS$5021))</f>
        <v>0</v>
      </c>
      <c r="AK126" s="104" cm="1">
        <f t="array" ref="AK126">SUMPRODUCT(('Projects Overview'!$B$2:$B$5021="Tensioner")*('Projects Overview'!$G$2:$G$5021="Firm")*('Projects Overview'!AT$2:AT$5021))</f>
        <v>0</v>
      </c>
      <c r="AL126" s="104" cm="1">
        <f t="array" ref="AL126">SUMPRODUCT(('Projects Overview'!$B$2:$B$5021="Tensioner")*('Projects Overview'!$G$2:$G$5021="Firm")*('Projects Overview'!AU$2:AU$5021))</f>
        <v>0</v>
      </c>
      <c r="AM126" s="104" cm="1">
        <f t="array" ref="AM126">SUMPRODUCT(('Projects Overview'!$B$2:$B$5021="Tensioner")*('Projects Overview'!$G$2:$G$5021="Firm")*('Projects Overview'!AV$2:AV$5021))</f>
        <v>0</v>
      </c>
    </row>
    <row r="127" spans="1:39" x14ac:dyDescent="0.35">
      <c r="A127" s="222"/>
      <c r="B127" s="227"/>
      <c r="C127" s="2" t="s">
        <v>6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 cm="1">
        <f t="array" ref="I127">SUMPRODUCT(('Projects Overview'!$B$2:$B$5021="Tensioner")*('Projects Overview'!$G$2:$G$5021="Risk Release")*('Projects Overview'!R$2:R$5021))</f>
        <v>0</v>
      </c>
      <c r="J127" s="104" cm="1">
        <f t="array" ref="J127">SUMPRODUCT(('Projects Overview'!$B$2:$B$5021="Tensioner")*('Projects Overview'!$G$2:$G$5021="Risk Release")*('Projects Overview'!S$2:S$5021))</f>
        <v>0</v>
      </c>
      <c r="K127" s="104" cm="1">
        <f t="array" ref="K127">SUMPRODUCT(('Projects Overview'!$B$2:$B$5021="Tensioner")*('Projects Overview'!$G$2:$G$5021="Risk Release")*('Projects Overview'!T$2:T$5021))</f>
        <v>0</v>
      </c>
      <c r="L127" s="104" cm="1">
        <f t="array" ref="L127">SUMPRODUCT(('Projects Overview'!$B$2:$B$5021="Tensioner")*('Projects Overview'!$G$2:$G$5021="Risk Release")*('Projects Overview'!U$2:U$5021))</f>
        <v>0</v>
      </c>
      <c r="M127" s="104" cm="1">
        <f t="array" ref="M127">SUMPRODUCT(('Projects Overview'!$B$2:$B$5021="Tensioner")*('Projects Overview'!$G$2:$G$5021="Risk Release")*('Projects Overview'!V$2:V$5021))</f>
        <v>0</v>
      </c>
      <c r="N127" s="104" cm="1">
        <f t="array" ref="N127">SUMPRODUCT(('Projects Overview'!$B$2:$B$5021="Tensioner")*('Projects Overview'!$G$2:$G$5021="Risk Release")*('Projects Overview'!W$2:W$5021))</f>
        <v>0</v>
      </c>
      <c r="O127" s="104" cm="1">
        <f t="array" ref="O127">SUMPRODUCT(('Projects Overview'!$B$2:$B$5021="Tensioner")*('Projects Overview'!$G$2:$G$5021="Risk Release")*('Projects Overview'!X$2:X$5021))</f>
        <v>0</v>
      </c>
      <c r="P127" s="104" cm="1">
        <f t="array" ref="P127">SUMPRODUCT(('Projects Overview'!$B$2:$B$5021="Tensioner")*('Projects Overview'!$G$2:$G$5021="Risk Release")*('Projects Overview'!Y$2:Y$5021))</f>
        <v>0</v>
      </c>
      <c r="Q127" s="104" cm="1">
        <f t="array" ref="Q127">SUMPRODUCT(('Projects Overview'!$B$2:$B$5021="Tensioner")*('Projects Overview'!$G$2:$G$5021="Risk Release")*('Projects Overview'!Z$2:Z$5021))</f>
        <v>0</v>
      </c>
      <c r="R127" s="104" cm="1">
        <f t="array" ref="R127">SUMPRODUCT(('Projects Overview'!$B$2:$B$5021="Tensioner")*('Projects Overview'!$G$2:$G$5021="Risk Release")*('Projects Overview'!AA$2:AA$5021))</f>
        <v>0</v>
      </c>
      <c r="S127" s="104" cm="1">
        <f t="array" ref="S127">SUMPRODUCT(('Projects Overview'!$B$2:$B$5021="Tensioner")*('Projects Overview'!$G$2:$G$5021="Risk Release")*('Projects Overview'!AB$2:AB$5021))</f>
        <v>0</v>
      </c>
      <c r="T127" s="104" cm="1">
        <f t="array" ref="T127">SUMPRODUCT(('Projects Overview'!$B$2:$B$5021="Tensioner")*('Projects Overview'!$G$2:$G$5021="Risk Release")*('Projects Overview'!AC$2:AC$5021))</f>
        <v>0</v>
      </c>
      <c r="U127" s="104" cm="1">
        <f t="array" ref="U127">SUMPRODUCT(('Projects Overview'!$B$2:$B$5021="Tensioner")*('Projects Overview'!$G$2:$G$5021="Risk Release")*('Projects Overview'!AD$2:AD$5021))</f>
        <v>0</v>
      </c>
      <c r="V127" s="104" cm="1">
        <f t="array" ref="V127">SUMPRODUCT(('Projects Overview'!$B$2:$B$5021="Tensioner")*('Projects Overview'!$G$2:$G$5021="Risk Release")*('Projects Overview'!AE$2:AE$5021))</f>
        <v>0</v>
      </c>
      <c r="W127" s="104" cm="1">
        <f t="array" ref="W127">SUMPRODUCT(('Projects Overview'!$B$2:$B$5021="Tensioner")*('Projects Overview'!$G$2:$G$5021="Risk Release")*('Projects Overview'!AF$2:AF$5021))</f>
        <v>0</v>
      </c>
      <c r="X127" s="104" cm="1">
        <f t="array" ref="X127">SUMPRODUCT(('Projects Overview'!$B$2:$B$5021="Tensioner")*('Projects Overview'!$G$2:$G$5021="Risk Release")*('Projects Overview'!AG$2:AG$5021))</f>
        <v>0</v>
      </c>
      <c r="Y127" s="104" cm="1">
        <f t="array" ref="Y127">SUMPRODUCT(('Projects Overview'!$B$2:$B$5021="Tensioner")*('Projects Overview'!$G$2:$G$5021="Risk Release")*('Projects Overview'!AH$2:AH$5021))</f>
        <v>0</v>
      </c>
      <c r="Z127" s="104" cm="1">
        <f t="array" ref="Z127">SUMPRODUCT(('Projects Overview'!$B$2:$B$5021="Tensioner")*('Projects Overview'!$G$2:$G$5021="Risk Release")*('Projects Overview'!AI$2:AI$5021))</f>
        <v>0</v>
      </c>
      <c r="AA127" s="104" cm="1">
        <f t="array" ref="AA127">SUMPRODUCT(('Projects Overview'!$B$2:$B$5021="Tensioner")*('Projects Overview'!$G$2:$G$5021="Risk Release")*('Projects Overview'!AJ$2:AJ$5021))</f>
        <v>0</v>
      </c>
      <c r="AB127" s="104" cm="1">
        <f t="array" ref="AB127">SUMPRODUCT(('Projects Overview'!$B$2:$B$5021="Tensioner")*('Projects Overview'!$G$2:$G$5021="Risk Release")*('Projects Overview'!AK$2:AK$5021))</f>
        <v>0</v>
      </c>
      <c r="AC127" s="104" cm="1">
        <f t="array" ref="AC127">SUMPRODUCT(('Projects Overview'!$B$2:$B$5021="Tensioner")*('Projects Overview'!$G$2:$G$5021="Risk Release")*('Projects Overview'!AL$2:AL$5021))</f>
        <v>0</v>
      </c>
      <c r="AD127" s="104" cm="1">
        <f t="array" ref="AD127">SUMPRODUCT(('Projects Overview'!$B$2:$B$5021="Tensioner")*('Projects Overview'!$G$2:$G$5021="Risk Release")*('Projects Overview'!AM$2:AM$5021))</f>
        <v>0</v>
      </c>
      <c r="AE127" s="104" cm="1">
        <f t="array" ref="AE127">SUMPRODUCT(('Projects Overview'!$B$2:$B$5021="Tensioner")*('Projects Overview'!$G$2:$G$5021="Risk Release")*('Projects Overview'!AN$2:AN$5021))</f>
        <v>0</v>
      </c>
      <c r="AF127" s="104" cm="1">
        <f t="array" ref="AF127">SUMPRODUCT(('Projects Overview'!$B$2:$B$5021="Tensioner")*('Projects Overview'!$G$2:$G$5021="Risk Release")*('Projects Overview'!AO$2:AO$5021))</f>
        <v>0</v>
      </c>
      <c r="AG127" s="104" cm="1">
        <f t="array" ref="AG127">SUMPRODUCT(('Projects Overview'!$B$2:$B$5021="Tensioner")*('Projects Overview'!$G$2:$G$5021="Risk Release")*('Projects Overview'!AP$2:AP$5021))</f>
        <v>0</v>
      </c>
      <c r="AH127" s="104" cm="1">
        <f t="array" ref="AH127">SUMPRODUCT(('Projects Overview'!$B$2:$B$5021="Tensioner")*('Projects Overview'!$G$2:$G$5021="Risk Release")*('Projects Overview'!AQ$2:AQ$5021))</f>
        <v>0</v>
      </c>
      <c r="AI127" s="104" cm="1">
        <f t="array" ref="AI127">SUMPRODUCT(('Projects Overview'!$B$2:$B$5021="Tensioner")*('Projects Overview'!$G$2:$G$5021="Risk Release")*('Projects Overview'!AR$2:AR$5021))</f>
        <v>0</v>
      </c>
      <c r="AJ127" s="104" cm="1">
        <f t="array" ref="AJ127">SUMPRODUCT(('Projects Overview'!$B$2:$B$5021="Tensioner")*('Projects Overview'!$G$2:$G$5021="Risk Release")*('Projects Overview'!AS$2:AS$5021))</f>
        <v>0</v>
      </c>
      <c r="AK127" s="104" cm="1">
        <f t="array" ref="AK127">SUMPRODUCT(('Projects Overview'!$B$2:$B$5021="Tensioner")*('Projects Overview'!$G$2:$G$5021="Risk Release")*('Projects Overview'!AT$2:AT$5021))</f>
        <v>0</v>
      </c>
      <c r="AL127" s="104" cm="1">
        <f t="array" ref="AL127">SUMPRODUCT(('Projects Overview'!$B$2:$B$5021="Tensioner")*('Projects Overview'!$G$2:$G$5021="Risk Release")*('Projects Overview'!AU$2:AU$5021))</f>
        <v>0</v>
      </c>
      <c r="AM127" s="104" cm="1">
        <f t="array" ref="AM127">SUMPRODUCT(('Projects Overview'!$B$2:$B$5021="Tensioner")*('Projects Overview'!$G$2:$G$5021="Risk Release")*('Projects Overview'!AV$2:AV$5021))</f>
        <v>0</v>
      </c>
    </row>
    <row r="128" spans="1:39" x14ac:dyDescent="0.35">
      <c r="A128" s="222"/>
      <c r="B128" s="228"/>
      <c r="C128" s="3" t="s">
        <v>8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 cm="1">
        <f t="array" ref="I128">SUMPRODUCT(('Projects Overview'!$B$2:$B$5021="Tensioner")*('Projects Overview'!$G$2:$G$5021="Forecast")*('Projects Overview'!R$2:R$5021))</f>
        <v>0</v>
      </c>
      <c r="J128" s="104" cm="1">
        <f t="array" ref="J128">SUMPRODUCT(('Projects Overview'!$B$2:$B$5021="Tensioner")*('Projects Overview'!$G$2:$G$5021="Forecast")*('Projects Overview'!S$2:S$5021))</f>
        <v>0</v>
      </c>
      <c r="K128" s="104" cm="1">
        <f t="array" ref="K128">SUMPRODUCT(('Projects Overview'!$B$2:$B$5021="Tensioner")*('Projects Overview'!$G$2:$G$5021="Forecast")*('Projects Overview'!T$2:T$5021))</f>
        <v>0</v>
      </c>
      <c r="L128" s="104" cm="1">
        <f t="array" ref="L128">SUMPRODUCT(('Projects Overview'!$B$2:$B$5021="Tensioner")*('Projects Overview'!$G$2:$G$5021="Forecast")*('Projects Overview'!U$2:U$5021))</f>
        <v>0</v>
      </c>
      <c r="M128" s="104" cm="1">
        <f t="array" ref="M128">SUMPRODUCT(('Projects Overview'!$B$2:$B$5021="Tensioner")*('Projects Overview'!$G$2:$G$5021="Forecast")*('Projects Overview'!V$2:V$5021))</f>
        <v>0</v>
      </c>
      <c r="N128" s="104" cm="1">
        <f t="array" ref="N128">SUMPRODUCT(('Projects Overview'!$B$2:$B$5021="Tensioner")*('Projects Overview'!$G$2:$G$5021="Forecast")*('Projects Overview'!W$2:W$5021))</f>
        <v>0</v>
      </c>
      <c r="O128" s="104" cm="1">
        <f t="array" ref="O128">SUMPRODUCT(('Projects Overview'!$B$2:$B$5021="Tensioner")*('Projects Overview'!$G$2:$G$5021="Forecast")*('Projects Overview'!X$2:X$5021))</f>
        <v>0</v>
      </c>
      <c r="P128" s="104" cm="1">
        <f t="array" ref="P128">SUMPRODUCT(('Projects Overview'!$B$2:$B$5021="Tensioner")*('Projects Overview'!$G$2:$G$5021="Forecast")*('Projects Overview'!Y$2:Y$5021))</f>
        <v>0</v>
      </c>
      <c r="Q128" s="104" cm="1">
        <f t="array" ref="Q128">SUMPRODUCT(('Projects Overview'!$B$2:$B$5021="Tensioner")*('Projects Overview'!$G$2:$G$5021="Forecast")*('Projects Overview'!Z$2:Z$5021))</f>
        <v>0</v>
      </c>
      <c r="R128" s="104" cm="1">
        <f t="array" ref="R128">SUMPRODUCT(('Projects Overview'!$B$2:$B$5021="Tensioner")*('Projects Overview'!$G$2:$G$5021="Forecast")*('Projects Overview'!AA$2:AA$5021))</f>
        <v>0</v>
      </c>
      <c r="S128" s="104" cm="1">
        <f t="array" ref="S128">SUMPRODUCT(('Projects Overview'!$B$2:$B$5021="Tensioner")*('Projects Overview'!$G$2:$G$5021="Forecast")*('Projects Overview'!AB$2:AB$5021))</f>
        <v>0</v>
      </c>
      <c r="T128" s="104" cm="1">
        <f t="array" ref="T128">SUMPRODUCT(('Projects Overview'!$B$2:$B$5021="Tensioner")*('Projects Overview'!$G$2:$G$5021="Forecast")*('Projects Overview'!AC$2:AC$5021))</f>
        <v>0</v>
      </c>
      <c r="U128" s="104" cm="1">
        <f t="array" ref="U128">SUMPRODUCT(('Projects Overview'!$B$2:$B$5021="Tensioner")*('Projects Overview'!$G$2:$G$5021="Forecast")*('Projects Overview'!AD$2:AD$5021))</f>
        <v>0</v>
      </c>
      <c r="V128" s="104" cm="1">
        <f t="array" ref="V128">SUMPRODUCT(('Projects Overview'!$B$2:$B$5021="Tensioner")*('Projects Overview'!$G$2:$G$5021="Forecast")*('Projects Overview'!AE$2:AE$5021))</f>
        <v>0</v>
      </c>
      <c r="W128" s="104" cm="1">
        <f t="array" ref="W128">SUMPRODUCT(('Projects Overview'!$B$2:$B$5021="Tensioner")*('Projects Overview'!$G$2:$G$5021="Forecast")*('Projects Overview'!AF$2:AF$5021))</f>
        <v>0</v>
      </c>
      <c r="X128" s="104" cm="1">
        <f t="array" ref="X128">SUMPRODUCT(('Projects Overview'!$B$2:$B$5021="Tensioner")*('Projects Overview'!$G$2:$G$5021="Forecast")*('Projects Overview'!AG$2:AG$5021))</f>
        <v>0</v>
      </c>
      <c r="Y128" s="104" cm="1">
        <f t="array" ref="Y128">SUMPRODUCT(('Projects Overview'!$B$2:$B$5021="Tensioner")*('Projects Overview'!$G$2:$G$5021="Forecast")*('Projects Overview'!AH$2:AH$5021))</f>
        <v>0</v>
      </c>
      <c r="Z128" s="104" cm="1">
        <f t="array" ref="Z128">SUMPRODUCT(('Projects Overview'!$B$2:$B$5021="Tensioner")*('Projects Overview'!$G$2:$G$5021="Forecast")*('Projects Overview'!AI$2:AI$5021))</f>
        <v>0</v>
      </c>
      <c r="AA128" s="104" cm="1">
        <f t="array" ref="AA128">SUMPRODUCT(('Projects Overview'!$B$2:$B$5021="Tensioner")*('Projects Overview'!$G$2:$G$5021="Forecast")*('Projects Overview'!AJ$2:AJ$5021))</f>
        <v>0</v>
      </c>
      <c r="AB128" s="104" cm="1">
        <f t="array" ref="AB128">SUMPRODUCT(('Projects Overview'!$B$2:$B$5021="Tensioner")*('Projects Overview'!$G$2:$G$5021="Forecast")*('Projects Overview'!AK$2:AK$5021))</f>
        <v>0</v>
      </c>
      <c r="AC128" s="104" cm="1">
        <f t="array" ref="AC128">SUMPRODUCT(('Projects Overview'!$B$2:$B$5021="Tensioner")*('Projects Overview'!$G$2:$G$5021="Forecast")*('Projects Overview'!AL$2:AL$5021))</f>
        <v>0</v>
      </c>
      <c r="AD128" s="104" cm="1">
        <f t="array" ref="AD128">SUMPRODUCT(('Projects Overview'!$B$2:$B$5021="Tensioner")*('Projects Overview'!$G$2:$G$5021="Forecast")*('Projects Overview'!AM$2:AM$5021))</f>
        <v>0</v>
      </c>
      <c r="AE128" s="104" cm="1">
        <f t="array" ref="AE128">SUMPRODUCT(('Projects Overview'!$B$2:$B$5021="Tensioner")*('Projects Overview'!$G$2:$G$5021="Forecast")*('Projects Overview'!AN$2:AN$5021))</f>
        <v>0</v>
      </c>
      <c r="AF128" s="104" cm="1">
        <f t="array" ref="AF128">SUMPRODUCT(('Projects Overview'!$B$2:$B$5021="Tensioner")*('Projects Overview'!$G$2:$G$5021="Forecast")*('Projects Overview'!AO$2:AO$5021))</f>
        <v>0</v>
      </c>
      <c r="AG128" s="104" cm="1">
        <f t="array" ref="AG128">SUMPRODUCT(('Projects Overview'!$B$2:$B$5021="Tensioner")*('Projects Overview'!$G$2:$G$5021="Forecast")*('Projects Overview'!AP$2:AP$5021))</f>
        <v>0</v>
      </c>
      <c r="AH128" s="104" cm="1">
        <f t="array" ref="AH128">SUMPRODUCT(('Projects Overview'!$B$2:$B$5021="Tensioner")*('Projects Overview'!$G$2:$G$5021="Forecast")*('Projects Overview'!AQ$2:AQ$5021))</f>
        <v>0</v>
      </c>
      <c r="AI128" s="104" cm="1">
        <f t="array" ref="AI128">SUMPRODUCT(('Projects Overview'!$B$2:$B$5021="Tensioner")*('Projects Overview'!$G$2:$G$5021="Forecast")*('Projects Overview'!AR$2:AR$5021))</f>
        <v>0</v>
      </c>
      <c r="AJ128" s="104" cm="1">
        <f t="array" ref="AJ128">SUMPRODUCT(('Projects Overview'!$B$2:$B$5021="Tensioner")*('Projects Overview'!$G$2:$G$5021="Forecast")*('Projects Overview'!AS$2:AS$5021))</f>
        <v>0</v>
      </c>
      <c r="AK128" s="104" cm="1">
        <f t="array" ref="AK128">SUMPRODUCT(('Projects Overview'!$B$2:$B$5021="Tensioner")*('Projects Overview'!$G$2:$G$5021="Forecast")*('Projects Overview'!AT$2:AT$5021))</f>
        <v>0</v>
      </c>
      <c r="AL128" s="104" cm="1">
        <f t="array" ref="AL128">SUMPRODUCT(('Projects Overview'!$B$2:$B$5021="Tensioner")*('Projects Overview'!$G$2:$G$5021="Forecast")*('Projects Overview'!AU$2:AU$5021))</f>
        <v>0</v>
      </c>
      <c r="AM128" s="104" cm="1">
        <f t="array" ref="AM128">SUMPRODUCT(('Projects Overview'!$B$2:$B$5021="Tensioner")*('Projects Overview'!$G$2:$G$5021="Forecast")*('Projects Overview'!AV$2:AV$5021))</f>
        <v>0</v>
      </c>
    </row>
    <row r="129" spans="1:39" x14ac:dyDescent="0.35">
      <c r="A129" s="222"/>
      <c r="B129" s="227" t="s">
        <v>176</v>
      </c>
      <c r="C129" s="4" t="s">
        <v>4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 cm="1">
        <f t="array" ref="I129">SUMPRODUCT(('Projects Overview'!$B$2:$B$5021="Termination Adapter")*('Projects Overview'!$G$2:$G$5021="Firm")*('Projects Overview'!R$2:R$5021))</f>
        <v>200</v>
      </c>
      <c r="J129" s="104" cm="1">
        <f t="array" ref="J129">SUMPRODUCT(('Projects Overview'!$B$2:$B$5021="Termination Adapter")*('Projects Overview'!$G$2:$G$5021="Firm")*('Projects Overview'!S$2:S$5021))</f>
        <v>100</v>
      </c>
      <c r="K129" s="104" cm="1">
        <f t="array" ref="K129">SUMPRODUCT(('Projects Overview'!$B$2:$B$5021="Termination Adapter")*('Projects Overview'!$G$2:$G$5021="Firm")*('Projects Overview'!T$2:T$5021))</f>
        <v>140</v>
      </c>
      <c r="L129" s="104" cm="1">
        <f t="array" ref="L129">SUMPRODUCT(('Projects Overview'!$B$2:$B$5021="Termination Adapter")*('Projects Overview'!$G$2:$G$5021="Firm")*('Projects Overview'!U$2:U$5021))</f>
        <v>0</v>
      </c>
      <c r="M129" s="104" cm="1">
        <f t="array" ref="M129">SUMPRODUCT(('Projects Overview'!$B$2:$B$5021="Termination Adapter")*('Projects Overview'!$G$2:$G$5021="Firm")*('Projects Overview'!V$2:V$5021))</f>
        <v>0</v>
      </c>
      <c r="N129" s="104" cm="1">
        <f t="array" ref="N129">SUMPRODUCT(('Projects Overview'!$B$2:$B$5021="Termination Adapter")*('Projects Overview'!$G$2:$G$5021="Firm")*('Projects Overview'!W$2:W$5021))</f>
        <v>0</v>
      </c>
      <c r="O129" s="104" cm="1">
        <f t="array" ref="O129">SUMPRODUCT(('Projects Overview'!$B$2:$B$5021="Termination Adapter")*('Projects Overview'!$G$2:$G$5021="Firm")*('Projects Overview'!X$2:X$5021))</f>
        <v>0</v>
      </c>
      <c r="P129" s="104" cm="1">
        <f t="array" ref="P129">SUMPRODUCT(('Projects Overview'!$B$2:$B$5021="Termination Adapter")*('Projects Overview'!$G$2:$G$5021="Firm")*('Projects Overview'!Y$2:Y$5021))</f>
        <v>0</v>
      </c>
      <c r="Q129" s="104" cm="1">
        <f t="array" ref="Q129">SUMPRODUCT(('Projects Overview'!$B$2:$B$5021="Termination Adapter")*('Projects Overview'!$G$2:$G$5021="Firm")*('Projects Overview'!Z$2:Z$5021))</f>
        <v>0</v>
      </c>
      <c r="R129" s="104" cm="1">
        <f t="array" ref="R129">SUMPRODUCT(('Projects Overview'!$B$2:$B$5021="Termination Adapter")*('Projects Overview'!$G$2:$G$5021="Firm")*('Projects Overview'!AA$2:AA$5021))</f>
        <v>0</v>
      </c>
      <c r="S129" s="104" cm="1">
        <f t="array" ref="S129">SUMPRODUCT(('Projects Overview'!$B$2:$B$5021="Termination Adapter")*('Projects Overview'!$G$2:$G$5021="Firm")*('Projects Overview'!AB$2:AB$5021))</f>
        <v>0</v>
      </c>
      <c r="T129" s="104" cm="1">
        <f t="array" ref="T129">SUMPRODUCT(('Projects Overview'!$B$2:$B$5021="Termination Adapter")*('Projects Overview'!$G$2:$G$5021="Firm")*('Projects Overview'!AC$2:AC$5021))</f>
        <v>0</v>
      </c>
      <c r="U129" s="104" cm="1">
        <f t="array" ref="U129">SUMPRODUCT(('Projects Overview'!$B$2:$B$5021="Termination Adapter")*('Projects Overview'!$G$2:$G$5021="Firm")*('Projects Overview'!AD$2:AD$5021))</f>
        <v>0</v>
      </c>
      <c r="V129" s="104" cm="1">
        <f t="array" ref="V129">SUMPRODUCT(('Projects Overview'!$B$2:$B$5021="Termination Adapter")*('Projects Overview'!$G$2:$G$5021="Firm")*('Projects Overview'!AE$2:AE$5021))</f>
        <v>0</v>
      </c>
      <c r="W129" s="104" cm="1">
        <f t="array" ref="W129">SUMPRODUCT(('Projects Overview'!$B$2:$B$5021="Termination Adapter")*('Projects Overview'!$G$2:$G$5021="Firm")*('Projects Overview'!AF$2:AF$5021))</f>
        <v>0</v>
      </c>
      <c r="X129" s="104" cm="1">
        <f t="array" ref="X129">SUMPRODUCT(('Projects Overview'!$B$2:$B$5021="Termination Adapter")*('Projects Overview'!$G$2:$G$5021="Firm")*('Projects Overview'!AG$2:AG$5021))</f>
        <v>0</v>
      </c>
      <c r="Y129" s="104" cm="1">
        <f t="array" ref="Y129">SUMPRODUCT(('Projects Overview'!$B$2:$B$5021="Termination Adapter")*('Projects Overview'!$G$2:$G$5021="Firm")*('Projects Overview'!AH$2:AH$5021))</f>
        <v>0</v>
      </c>
      <c r="Z129" s="104" cm="1">
        <f t="array" ref="Z129">SUMPRODUCT(('Projects Overview'!$B$2:$B$5021="Termination Adapter")*('Projects Overview'!$G$2:$G$5021="Firm")*('Projects Overview'!AI$2:AI$5021))</f>
        <v>0</v>
      </c>
      <c r="AA129" s="104" cm="1">
        <f t="array" ref="AA129">SUMPRODUCT(('Projects Overview'!$B$2:$B$5021="Termination Adapter")*('Projects Overview'!$G$2:$G$5021="Firm")*('Projects Overview'!AJ$2:AJ$5021))</f>
        <v>0</v>
      </c>
      <c r="AB129" s="104" cm="1">
        <f t="array" ref="AB129">SUMPRODUCT(('Projects Overview'!$B$2:$B$5021="Termination Adapter")*('Projects Overview'!$G$2:$G$5021="Firm")*('Projects Overview'!AK$2:AK$5021))</f>
        <v>0</v>
      </c>
      <c r="AC129" s="104" cm="1">
        <f t="array" ref="AC129">SUMPRODUCT(('Projects Overview'!$B$2:$B$5021="Termination Adapter")*('Projects Overview'!$G$2:$G$5021="Firm")*('Projects Overview'!AL$2:AL$5021))</f>
        <v>0</v>
      </c>
      <c r="AD129" s="104" cm="1">
        <f t="array" ref="AD129">SUMPRODUCT(('Projects Overview'!$B$2:$B$5021="Termination Adapter")*('Projects Overview'!$G$2:$G$5021="Firm")*('Projects Overview'!AM$2:AM$5021))</f>
        <v>0</v>
      </c>
      <c r="AE129" s="104" cm="1">
        <f t="array" ref="AE129">SUMPRODUCT(('Projects Overview'!$B$2:$B$5021="Termination Adapter")*('Projects Overview'!$G$2:$G$5021="Firm")*('Projects Overview'!AN$2:AN$5021))</f>
        <v>0</v>
      </c>
      <c r="AF129" s="104" cm="1">
        <f t="array" ref="AF129">SUMPRODUCT(('Projects Overview'!$B$2:$B$5021="Termination Adapter")*('Projects Overview'!$G$2:$G$5021="Firm")*('Projects Overview'!AO$2:AO$5021))</f>
        <v>0</v>
      </c>
      <c r="AG129" s="104" cm="1">
        <f t="array" ref="AG129">SUMPRODUCT(('Projects Overview'!$B$2:$B$5021="Termination Adapter")*('Projects Overview'!$G$2:$G$5021="Firm")*('Projects Overview'!AP$2:AP$5021))</f>
        <v>0</v>
      </c>
      <c r="AH129" s="104" cm="1">
        <f t="array" ref="AH129">SUMPRODUCT(('Projects Overview'!$B$2:$B$5021="Termination Adapter")*('Projects Overview'!$G$2:$G$5021="Firm")*('Projects Overview'!AQ$2:AQ$5021))</f>
        <v>0</v>
      </c>
      <c r="AI129" s="104" cm="1">
        <f t="array" ref="AI129">SUMPRODUCT(('Projects Overview'!$B$2:$B$5021="Termination Adapter")*('Projects Overview'!$G$2:$G$5021="Firm")*('Projects Overview'!AR$2:AR$5021))</f>
        <v>0</v>
      </c>
      <c r="AJ129" s="104" cm="1">
        <f t="array" ref="AJ129">SUMPRODUCT(('Projects Overview'!$B$2:$B$5021="Termination Adapter")*('Projects Overview'!$G$2:$G$5021="Firm")*('Projects Overview'!AS$2:AS$5021))</f>
        <v>0</v>
      </c>
      <c r="AK129" s="104" cm="1">
        <f t="array" ref="AK129">SUMPRODUCT(('Projects Overview'!$B$2:$B$5021="Termination Adapter")*('Projects Overview'!$G$2:$G$5021="Firm")*('Projects Overview'!AT$2:AT$5021))</f>
        <v>0</v>
      </c>
      <c r="AL129" s="104" cm="1">
        <f t="array" ref="AL129">SUMPRODUCT(('Projects Overview'!$B$2:$B$5021="Termination Adapter")*('Projects Overview'!$G$2:$G$5021="Firm")*('Projects Overview'!AU$2:AU$5021))</f>
        <v>0</v>
      </c>
      <c r="AM129" s="104" cm="1">
        <f t="array" ref="AM129">SUMPRODUCT(('Projects Overview'!$B$2:$B$5021="Termination Adapter")*('Projects Overview'!$G$2:$G$5021="Firm")*('Projects Overview'!AV$2:AV$5021))</f>
        <v>0</v>
      </c>
    </row>
    <row r="130" spans="1:39" x14ac:dyDescent="0.35">
      <c r="A130" s="222"/>
      <c r="B130" s="227"/>
      <c r="C130" s="2" t="s">
        <v>6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 cm="1">
        <f t="array" ref="I130">SUMPRODUCT(('Projects Overview'!$B$2:$B$5021="Termination Adapter")*('Projects Overview'!$G$2:$G$5021="Risk Release")*('Projects Overview'!R$2:R$5021))</f>
        <v>0</v>
      </c>
      <c r="J130" s="104" cm="1">
        <f t="array" ref="J130">SUMPRODUCT(('Projects Overview'!$B$2:$B$5021="Termination Adapter")*('Projects Overview'!$G$2:$G$5021="Risk Release")*('Projects Overview'!S$2:S$5021))</f>
        <v>0</v>
      </c>
      <c r="K130" s="104" cm="1">
        <f t="array" ref="K130">SUMPRODUCT(('Projects Overview'!$B$2:$B$5021="Termination Adapter")*('Projects Overview'!$G$2:$G$5021="Risk Release")*('Projects Overview'!T$2:T$5021))</f>
        <v>0</v>
      </c>
      <c r="L130" s="104" cm="1">
        <f t="array" ref="L130">SUMPRODUCT(('Projects Overview'!$B$2:$B$5021="Termination Adapter")*('Projects Overview'!$G$2:$G$5021="Risk Release")*('Projects Overview'!U$2:U$5021))</f>
        <v>0</v>
      </c>
      <c r="M130" s="104" cm="1">
        <f t="array" ref="M130">SUMPRODUCT(('Projects Overview'!$B$2:$B$5021="Termination Adapter")*('Projects Overview'!$G$2:$G$5021="Risk Release")*('Projects Overview'!V$2:V$5021))</f>
        <v>0</v>
      </c>
      <c r="N130" s="104" cm="1">
        <f t="array" ref="N130">SUMPRODUCT(('Projects Overview'!$B$2:$B$5021="Termination Adapter")*('Projects Overview'!$G$2:$G$5021="Risk Release")*('Projects Overview'!W$2:W$5021))</f>
        <v>0</v>
      </c>
      <c r="O130" s="104" cm="1">
        <f t="array" ref="O130">SUMPRODUCT(('Projects Overview'!$B$2:$B$5021="Termination Adapter")*('Projects Overview'!$G$2:$G$5021="Risk Release")*('Projects Overview'!X$2:X$5021))</f>
        <v>0</v>
      </c>
      <c r="P130" s="104" cm="1">
        <f t="array" ref="P130">SUMPRODUCT(('Projects Overview'!$B$2:$B$5021="Termination Adapter")*('Projects Overview'!$G$2:$G$5021="Risk Release")*('Projects Overview'!Y$2:Y$5021))</f>
        <v>0</v>
      </c>
      <c r="Q130" s="104" cm="1">
        <f t="array" ref="Q130">SUMPRODUCT(('Projects Overview'!$B$2:$B$5021="Termination Adapter")*('Projects Overview'!$G$2:$G$5021="Risk Release")*('Projects Overview'!Z$2:Z$5021))</f>
        <v>0</v>
      </c>
      <c r="R130" s="104" cm="1">
        <f t="array" ref="R130">SUMPRODUCT(('Projects Overview'!$B$2:$B$5021="Termination Adapter")*('Projects Overview'!$G$2:$G$5021="Risk Release")*('Projects Overview'!AA$2:AA$5021))</f>
        <v>0</v>
      </c>
      <c r="S130" s="104" cm="1">
        <f t="array" ref="S130">SUMPRODUCT(('Projects Overview'!$B$2:$B$5021="Termination Adapter")*('Projects Overview'!$G$2:$G$5021="Risk Release")*('Projects Overview'!AB$2:AB$5021))</f>
        <v>0</v>
      </c>
      <c r="T130" s="104" cm="1">
        <f t="array" ref="T130">SUMPRODUCT(('Projects Overview'!$B$2:$B$5021="Termination Adapter")*('Projects Overview'!$G$2:$G$5021="Risk Release")*('Projects Overview'!AC$2:AC$5021))</f>
        <v>0</v>
      </c>
      <c r="U130" s="104" cm="1">
        <f t="array" ref="U130">SUMPRODUCT(('Projects Overview'!$B$2:$B$5021="Termination Adapter")*('Projects Overview'!$G$2:$G$5021="Risk Release")*('Projects Overview'!AD$2:AD$5021))</f>
        <v>0</v>
      </c>
      <c r="V130" s="104" cm="1">
        <f t="array" ref="V130">SUMPRODUCT(('Projects Overview'!$B$2:$B$5021="Termination Adapter")*('Projects Overview'!$G$2:$G$5021="Risk Release")*('Projects Overview'!AE$2:AE$5021))</f>
        <v>0</v>
      </c>
      <c r="W130" s="104" cm="1">
        <f t="array" ref="W130">SUMPRODUCT(('Projects Overview'!$B$2:$B$5021="Termination Adapter")*('Projects Overview'!$G$2:$G$5021="Risk Release")*('Projects Overview'!AF$2:AF$5021))</f>
        <v>0</v>
      </c>
      <c r="X130" s="104" cm="1">
        <f t="array" ref="X130">SUMPRODUCT(('Projects Overview'!$B$2:$B$5021="Termination Adapter")*('Projects Overview'!$G$2:$G$5021="Risk Release")*('Projects Overview'!AG$2:AG$5021))</f>
        <v>0</v>
      </c>
      <c r="Y130" s="104" cm="1">
        <f t="array" ref="Y130">SUMPRODUCT(('Projects Overview'!$B$2:$B$5021="Termination Adapter")*('Projects Overview'!$G$2:$G$5021="Risk Release")*('Projects Overview'!AH$2:AH$5021))</f>
        <v>0</v>
      </c>
      <c r="Z130" s="104" cm="1">
        <f t="array" ref="Z130">SUMPRODUCT(('Projects Overview'!$B$2:$B$5021="Termination Adapter")*('Projects Overview'!$G$2:$G$5021="Risk Release")*('Projects Overview'!AI$2:AI$5021))</f>
        <v>0</v>
      </c>
      <c r="AA130" s="104" cm="1">
        <f t="array" ref="AA130">SUMPRODUCT(('Projects Overview'!$B$2:$B$5021="Termination Adapter")*('Projects Overview'!$G$2:$G$5021="Risk Release")*('Projects Overview'!AJ$2:AJ$5021))</f>
        <v>0</v>
      </c>
      <c r="AB130" s="104" cm="1">
        <f t="array" ref="AB130">SUMPRODUCT(('Projects Overview'!$B$2:$B$5021="Termination Adapter")*('Projects Overview'!$G$2:$G$5021="Risk Release")*('Projects Overview'!AK$2:AK$5021))</f>
        <v>0</v>
      </c>
      <c r="AC130" s="104" cm="1">
        <f t="array" ref="AC130">SUMPRODUCT(('Projects Overview'!$B$2:$B$5021="Termination Adapter")*('Projects Overview'!$G$2:$G$5021="Risk Release")*('Projects Overview'!AL$2:AL$5021))</f>
        <v>0</v>
      </c>
      <c r="AD130" s="104" cm="1">
        <f t="array" ref="AD130">SUMPRODUCT(('Projects Overview'!$B$2:$B$5021="Termination Adapter")*('Projects Overview'!$G$2:$G$5021="Risk Release")*('Projects Overview'!AM$2:AM$5021))</f>
        <v>0</v>
      </c>
      <c r="AE130" s="104" cm="1">
        <f t="array" ref="AE130">SUMPRODUCT(('Projects Overview'!$B$2:$B$5021="Termination Adapter")*('Projects Overview'!$G$2:$G$5021="Risk Release")*('Projects Overview'!AN$2:AN$5021))</f>
        <v>0</v>
      </c>
      <c r="AF130" s="104" cm="1">
        <f t="array" ref="AF130">SUMPRODUCT(('Projects Overview'!$B$2:$B$5021="Termination Adapter")*('Projects Overview'!$G$2:$G$5021="Risk Release")*('Projects Overview'!AO$2:AO$5021))</f>
        <v>0</v>
      </c>
      <c r="AG130" s="104" cm="1">
        <f t="array" ref="AG130">SUMPRODUCT(('Projects Overview'!$B$2:$B$5021="Termination Adapter")*('Projects Overview'!$G$2:$G$5021="Risk Release")*('Projects Overview'!AP$2:AP$5021))</f>
        <v>0</v>
      </c>
      <c r="AH130" s="104" cm="1">
        <f t="array" ref="AH130">SUMPRODUCT(('Projects Overview'!$B$2:$B$5021="Termination Adapter")*('Projects Overview'!$G$2:$G$5021="Risk Release")*('Projects Overview'!AQ$2:AQ$5021))</f>
        <v>0</v>
      </c>
      <c r="AI130" s="104" cm="1">
        <f t="array" ref="AI130">SUMPRODUCT(('Projects Overview'!$B$2:$B$5021="Termination Adapter")*('Projects Overview'!$G$2:$G$5021="Risk Release")*('Projects Overview'!AR$2:AR$5021))</f>
        <v>0</v>
      </c>
      <c r="AJ130" s="104" cm="1">
        <f t="array" ref="AJ130">SUMPRODUCT(('Projects Overview'!$B$2:$B$5021="Termination Adapter")*('Projects Overview'!$G$2:$G$5021="Risk Release")*('Projects Overview'!AS$2:AS$5021))</f>
        <v>0</v>
      </c>
      <c r="AK130" s="104" cm="1">
        <f t="array" ref="AK130">SUMPRODUCT(('Projects Overview'!$B$2:$B$5021="Termination Adapter")*('Projects Overview'!$G$2:$G$5021="Risk Release")*('Projects Overview'!AT$2:AT$5021))</f>
        <v>0</v>
      </c>
      <c r="AL130" s="104" cm="1">
        <f t="array" ref="AL130">SUMPRODUCT(('Projects Overview'!$B$2:$B$5021="Termination Adapter")*('Projects Overview'!$G$2:$G$5021="Risk Release")*('Projects Overview'!AU$2:AU$5021))</f>
        <v>0</v>
      </c>
      <c r="AM130" s="104" cm="1">
        <f t="array" ref="AM130">SUMPRODUCT(('Projects Overview'!$B$2:$B$5021="Termination Adapter")*('Projects Overview'!$G$2:$G$5021="Risk Release")*('Projects Overview'!AV$2:AV$5021))</f>
        <v>0</v>
      </c>
    </row>
    <row r="131" spans="1:39" ht="15" thickBot="1" x14ac:dyDescent="0.4">
      <c r="A131" s="223"/>
      <c r="B131" s="228"/>
      <c r="C131" s="3" t="s">
        <v>8</v>
      </c>
      <c r="D131" s="104">
        <v>0</v>
      </c>
      <c r="E131" s="104">
        <v>0</v>
      </c>
      <c r="F131" s="104">
        <v>0</v>
      </c>
      <c r="G131" s="104">
        <v>0</v>
      </c>
      <c r="H131" s="104">
        <v>0</v>
      </c>
      <c r="I131" s="104" cm="1">
        <f t="array" ref="I131">SUMPRODUCT(('Projects Overview'!$B$2:$B$5021="Termination Adapter")*('Projects Overview'!$G$2:$G$5021="Forecast")*('Projects Overview'!R$2:R$5021))</f>
        <v>0</v>
      </c>
      <c r="J131" s="104" cm="1">
        <f t="array" ref="J131">SUMPRODUCT(('Projects Overview'!$B$2:$B$5021="Termination Adapter")*('Projects Overview'!$G$2:$G$5021="Forecast")*('Projects Overview'!S$2:S$5021))</f>
        <v>0</v>
      </c>
      <c r="K131" s="104" cm="1">
        <f t="array" ref="K131">SUMPRODUCT(('Projects Overview'!$B$2:$B$5021="Termination Adapter")*('Projects Overview'!$G$2:$G$5021="Forecast")*('Projects Overview'!T$2:T$5021))</f>
        <v>0</v>
      </c>
      <c r="L131" s="104" cm="1">
        <f t="array" ref="L131">SUMPRODUCT(('Projects Overview'!$B$2:$B$5021="Termination Adapter")*('Projects Overview'!$G$2:$G$5021="Forecast")*('Projects Overview'!U$2:U$5021))</f>
        <v>0</v>
      </c>
      <c r="M131" s="104" cm="1">
        <f t="array" ref="M131">SUMPRODUCT(('Projects Overview'!$B$2:$B$5021="Termination Adapter")*('Projects Overview'!$G$2:$G$5021="Forecast")*('Projects Overview'!V$2:V$5021))</f>
        <v>0</v>
      </c>
      <c r="N131" s="104" cm="1">
        <f t="array" ref="N131">SUMPRODUCT(('Projects Overview'!$B$2:$B$5021="Termination Adapter")*('Projects Overview'!$G$2:$G$5021="Forecast")*('Projects Overview'!W$2:W$5021))</f>
        <v>0</v>
      </c>
      <c r="O131" s="104" cm="1">
        <f t="array" ref="O131">SUMPRODUCT(('Projects Overview'!$B$2:$B$5021="Termination Adapter")*('Projects Overview'!$G$2:$G$5021="Forecast")*('Projects Overview'!X$2:X$5021))</f>
        <v>0</v>
      </c>
      <c r="P131" s="104" cm="1">
        <f t="array" ref="P131">SUMPRODUCT(('Projects Overview'!$B$2:$B$5021="Termination Adapter")*('Projects Overview'!$G$2:$G$5021="Forecast")*('Projects Overview'!Y$2:Y$5021))</f>
        <v>0</v>
      </c>
      <c r="Q131" s="104" cm="1">
        <f t="array" ref="Q131">SUMPRODUCT(('Projects Overview'!$B$2:$B$5021="Termination Adapter")*('Projects Overview'!$G$2:$G$5021="Forecast")*('Projects Overview'!Z$2:Z$5021))</f>
        <v>0</v>
      </c>
      <c r="R131" s="104" cm="1">
        <f t="array" ref="R131">SUMPRODUCT(('Projects Overview'!$B$2:$B$5021="Termination Adapter")*('Projects Overview'!$G$2:$G$5021="Forecast")*('Projects Overview'!AA$2:AA$5021))</f>
        <v>0</v>
      </c>
      <c r="S131" s="104" cm="1">
        <f t="array" ref="S131">SUMPRODUCT(('Projects Overview'!$B$2:$B$5021="Termination Adapter")*('Projects Overview'!$G$2:$G$5021="Forecast")*('Projects Overview'!AB$2:AB$5021))</f>
        <v>0</v>
      </c>
      <c r="T131" s="104" cm="1">
        <f t="array" ref="T131">SUMPRODUCT(('Projects Overview'!$B$2:$B$5021="Termination Adapter")*('Projects Overview'!$G$2:$G$5021="Forecast")*('Projects Overview'!AC$2:AC$5021))</f>
        <v>0</v>
      </c>
      <c r="U131" s="104" cm="1">
        <f t="array" ref="U131">SUMPRODUCT(('Projects Overview'!$B$2:$B$5021="Termination Adapter")*('Projects Overview'!$G$2:$G$5021="Forecast")*('Projects Overview'!AD$2:AD$5021))</f>
        <v>0</v>
      </c>
      <c r="V131" s="104" cm="1">
        <f t="array" ref="V131">SUMPRODUCT(('Projects Overview'!$B$2:$B$5021="Termination Adapter")*('Projects Overview'!$G$2:$G$5021="Forecast")*('Projects Overview'!AE$2:AE$5021))</f>
        <v>0</v>
      </c>
      <c r="W131" s="104" cm="1">
        <f t="array" ref="W131">SUMPRODUCT(('Projects Overview'!$B$2:$B$5021="Termination Adapter")*('Projects Overview'!$G$2:$G$5021="Forecast")*('Projects Overview'!AF$2:AF$5021))</f>
        <v>0</v>
      </c>
      <c r="X131" s="104" cm="1">
        <f t="array" ref="X131">SUMPRODUCT(('Projects Overview'!$B$2:$B$5021="Termination Adapter")*('Projects Overview'!$G$2:$G$5021="Forecast")*('Projects Overview'!AG$2:AG$5021))</f>
        <v>0</v>
      </c>
      <c r="Y131" s="104" cm="1">
        <f t="array" ref="Y131">SUMPRODUCT(('Projects Overview'!$B$2:$B$5021="Termination Adapter")*('Projects Overview'!$G$2:$G$5021="Forecast")*('Projects Overview'!AH$2:AH$5021))</f>
        <v>0</v>
      </c>
      <c r="Z131" s="104" cm="1">
        <f t="array" ref="Z131">SUMPRODUCT(('Projects Overview'!$B$2:$B$5021="Termination Adapter")*('Projects Overview'!$G$2:$G$5021="Forecast")*('Projects Overview'!AI$2:AI$5021))</f>
        <v>0</v>
      </c>
      <c r="AA131" s="104" cm="1">
        <f t="array" ref="AA131">SUMPRODUCT(('Projects Overview'!$B$2:$B$5021="Termination Adapter")*('Projects Overview'!$G$2:$G$5021="Forecast")*('Projects Overview'!AJ$2:AJ$5021))</f>
        <v>0</v>
      </c>
      <c r="AB131" s="104" cm="1">
        <f t="array" ref="AB131">SUMPRODUCT(('Projects Overview'!$B$2:$B$5021="Termination Adapter")*('Projects Overview'!$G$2:$G$5021="Forecast")*('Projects Overview'!AK$2:AK$5021))</f>
        <v>0</v>
      </c>
      <c r="AC131" s="104" cm="1">
        <f t="array" ref="AC131">SUMPRODUCT(('Projects Overview'!$B$2:$B$5021="Termination Adapter")*('Projects Overview'!$G$2:$G$5021="Forecast")*('Projects Overview'!AL$2:AL$5021))</f>
        <v>0</v>
      </c>
      <c r="AD131" s="104" cm="1">
        <f t="array" ref="AD131">SUMPRODUCT(('Projects Overview'!$B$2:$B$5021="Termination Adapter")*('Projects Overview'!$G$2:$G$5021="Forecast")*('Projects Overview'!AM$2:AM$5021))</f>
        <v>0</v>
      </c>
      <c r="AE131" s="104" cm="1">
        <f t="array" ref="AE131">SUMPRODUCT(('Projects Overview'!$B$2:$B$5021="Termination Adapter")*('Projects Overview'!$G$2:$G$5021="Forecast")*('Projects Overview'!AN$2:AN$5021))</f>
        <v>0</v>
      </c>
      <c r="AF131" s="104" cm="1">
        <f t="array" ref="AF131">SUMPRODUCT(('Projects Overview'!$B$2:$B$5021="Termination Adapter")*('Projects Overview'!$G$2:$G$5021="Forecast")*('Projects Overview'!AO$2:AO$5021))</f>
        <v>0</v>
      </c>
      <c r="AG131" s="104" cm="1">
        <f t="array" ref="AG131">SUMPRODUCT(('Projects Overview'!$B$2:$B$5021="Termination Adapter")*('Projects Overview'!$G$2:$G$5021="Forecast")*('Projects Overview'!AP$2:AP$5021))</f>
        <v>0</v>
      </c>
      <c r="AH131" s="104" cm="1">
        <f t="array" ref="AH131">SUMPRODUCT(('Projects Overview'!$B$2:$B$5021="Termination Adapter")*('Projects Overview'!$G$2:$G$5021="Forecast")*('Projects Overview'!AQ$2:AQ$5021))</f>
        <v>0</v>
      </c>
      <c r="AI131" s="104" cm="1">
        <f t="array" ref="AI131">SUMPRODUCT(('Projects Overview'!$B$2:$B$5021="Termination Adapter")*('Projects Overview'!$G$2:$G$5021="Forecast")*('Projects Overview'!AR$2:AR$5021))</f>
        <v>0</v>
      </c>
      <c r="AJ131" s="104" cm="1">
        <f t="array" ref="AJ131">SUMPRODUCT(('Projects Overview'!$B$2:$B$5021="Termination Adapter")*('Projects Overview'!$G$2:$G$5021="Forecast")*('Projects Overview'!AS$2:AS$5021))</f>
        <v>0</v>
      </c>
      <c r="AK131" s="104" cm="1">
        <f t="array" ref="AK131">SUMPRODUCT(('Projects Overview'!$B$2:$B$5021="Termination Adapter")*('Projects Overview'!$G$2:$G$5021="Forecast")*('Projects Overview'!AT$2:AT$5021))</f>
        <v>0</v>
      </c>
      <c r="AL131" s="104" cm="1">
        <f t="array" ref="AL131">SUMPRODUCT(('Projects Overview'!$B$2:$B$5021="Termination Adapter")*('Projects Overview'!$G$2:$G$5021="Forecast")*('Projects Overview'!AU$2:AU$5021))</f>
        <v>0</v>
      </c>
      <c r="AM131" s="104" cm="1">
        <f t="array" ref="AM131">SUMPRODUCT(('Projects Overview'!$B$2:$B$5021="Termination Adapter")*('Projects Overview'!$G$2:$G$5021="Forecast")*('Projects Overview'!AV$2:AV$5021))</f>
        <v>0</v>
      </c>
    </row>
    <row r="134" spans="1:39" ht="15" customHeight="1" x14ac:dyDescent="0.35"/>
    <row r="135" spans="1:39" ht="15" customHeight="1" x14ac:dyDescent="0.35"/>
    <row r="136" spans="1:39" ht="15.75" customHeight="1" x14ac:dyDescent="0.35"/>
    <row r="137" spans="1:39" ht="15.75" customHeight="1" x14ac:dyDescent="0.35"/>
    <row r="138" spans="1:39" ht="15.75" customHeight="1" x14ac:dyDescent="0.35"/>
    <row r="139" spans="1:39" ht="15.75" customHeight="1" x14ac:dyDescent="0.35"/>
    <row r="140" spans="1:39" ht="15.75" customHeight="1" x14ac:dyDescent="0.35"/>
    <row r="141" spans="1:39" ht="15.75" customHeight="1" x14ac:dyDescent="0.35"/>
    <row r="142" spans="1:39" ht="15.75" customHeight="1" x14ac:dyDescent="0.35"/>
    <row r="143" spans="1:39" ht="15.75" customHeight="1" x14ac:dyDescent="0.35"/>
    <row r="144" spans="1:39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" customHeight="1" x14ac:dyDescent="0.35"/>
    <row r="213" ht="15" customHeight="1" x14ac:dyDescent="0.35"/>
    <row r="214" ht="1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spans="40:50" ht="15.75" customHeight="1" x14ac:dyDescent="0.35"/>
    <row r="258" spans="40:50" ht="15.75" customHeight="1" x14ac:dyDescent="0.35"/>
    <row r="259" spans="40:50" ht="15.75" customHeight="1" x14ac:dyDescent="0.35">
      <c r="AO259" s="7"/>
      <c r="AP259" s="7"/>
      <c r="AQ259" s="8"/>
      <c r="AR259" s="8"/>
      <c r="AS259" s="8"/>
      <c r="AT259" s="8"/>
      <c r="AU259" s="8"/>
      <c r="AV259" s="8"/>
      <c r="AW259" s="8"/>
      <c r="AX259" s="8"/>
    </row>
    <row r="260" spans="40:50" x14ac:dyDescent="0.35">
      <c r="AN260" s="7"/>
    </row>
    <row r="262" spans="40:50" ht="35.15" customHeight="1" x14ac:dyDescent="0.35"/>
    <row r="263" spans="40:50" ht="35.15" customHeight="1" x14ac:dyDescent="0.35"/>
    <row r="264" spans="40:50" ht="35.15" customHeight="1" x14ac:dyDescent="0.35"/>
    <row r="265" spans="40:50" ht="35.15" customHeight="1" x14ac:dyDescent="0.35"/>
    <row r="266" spans="40:50" ht="35.15" customHeight="1" x14ac:dyDescent="0.35"/>
    <row r="267" spans="40:50" ht="35.15" customHeight="1" x14ac:dyDescent="0.35"/>
    <row r="268" spans="40:50" ht="35.15" customHeight="1" x14ac:dyDescent="0.35"/>
    <row r="269" spans="40:50" ht="35.15" customHeight="1" x14ac:dyDescent="0.35"/>
    <row r="270" spans="40:50" ht="35.15" customHeight="1" x14ac:dyDescent="0.35"/>
    <row r="271" spans="40:50" ht="35.15" customHeight="1" x14ac:dyDescent="0.35"/>
    <row r="272" spans="40:50" ht="35.15" customHeight="1" x14ac:dyDescent="0.35"/>
    <row r="273" ht="35.15" customHeight="1" x14ac:dyDescent="0.35"/>
    <row r="274" ht="35.15" customHeight="1" x14ac:dyDescent="0.35"/>
    <row r="275" ht="35.15" customHeight="1" x14ac:dyDescent="0.35"/>
    <row r="276" ht="35.15" customHeight="1" x14ac:dyDescent="0.35"/>
    <row r="277" ht="44.25" customHeight="1" x14ac:dyDescent="0.35"/>
  </sheetData>
  <autoFilter ref="A4:AA131" xr:uid="{7E00C266-14F6-4D6E-961B-8B3A08287E7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</autoFilter>
  <dataConsolidate/>
  <mergeCells count="58">
    <mergeCell ref="AB4:AM4"/>
    <mergeCell ref="AO41:BB41"/>
    <mergeCell ref="BG45:BK45"/>
    <mergeCell ref="AY42:BB42"/>
    <mergeCell ref="AU42:AX42"/>
    <mergeCell ref="AQ42:AT42"/>
    <mergeCell ref="A4:A5"/>
    <mergeCell ref="B4:B5"/>
    <mergeCell ref="C4:C5"/>
    <mergeCell ref="B24:B26"/>
    <mergeCell ref="B27:B29"/>
    <mergeCell ref="A6:A35"/>
    <mergeCell ref="B6:B8"/>
    <mergeCell ref="B9:B11"/>
    <mergeCell ref="B12:B14"/>
    <mergeCell ref="B15:B17"/>
    <mergeCell ref="B18:B20"/>
    <mergeCell ref="B21:B23"/>
    <mergeCell ref="D4:O4"/>
    <mergeCell ref="P4:AA4"/>
    <mergeCell ref="B30:B32"/>
    <mergeCell ref="B33:B35"/>
    <mergeCell ref="A36:A50"/>
    <mergeCell ref="B36:B38"/>
    <mergeCell ref="B39:B41"/>
    <mergeCell ref="B42:B44"/>
    <mergeCell ref="B45:B47"/>
    <mergeCell ref="B48:B50"/>
    <mergeCell ref="A84:A131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29:B131"/>
    <mergeCell ref="B111:B113"/>
    <mergeCell ref="B114:B116"/>
    <mergeCell ref="B117:B119"/>
    <mergeCell ref="B126:B128"/>
    <mergeCell ref="B123:B125"/>
    <mergeCell ref="B120:B122"/>
    <mergeCell ref="B81:B83"/>
    <mergeCell ref="B63:B65"/>
    <mergeCell ref="B66:B68"/>
    <mergeCell ref="B69:B71"/>
    <mergeCell ref="B72:B74"/>
    <mergeCell ref="A81:A83"/>
    <mergeCell ref="A51:A80"/>
    <mergeCell ref="B54:B56"/>
    <mergeCell ref="B57:B59"/>
    <mergeCell ref="B60:B62"/>
    <mergeCell ref="B75:B77"/>
    <mergeCell ref="B78:B80"/>
    <mergeCell ref="B51:B53"/>
  </mergeCells>
  <phoneticPr fontId="6" type="noConversion"/>
  <pageMargins left="0.7" right="0.7" top="0.75" bottom="0.75" header="0.3" footer="0.3"/>
  <pageSetup paperSize="9" scale="35" fitToWidth="0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F160930B71814E8BDD8E5D06114DA7" ma:contentTypeVersion="3" ma:contentTypeDescription="Crie um novo documento." ma:contentTypeScope="" ma:versionID="0a36e4c725694d3ff23cfc43126bd4b1">
  <xsd:schema xmlns:xsd="http://www.w3.org/2001/XMLSchema" xmlns:xs="http://www.w3.org/2001/XMLSchema" xmlns:p="http://schemas.microsoft.com/office/2006/metadata/properties" xmlns:ns2="7a0f57ef-c463-49b7-91dc-7ed82fafe027" targetNamespace="http://schemas.microsoft.com/office/2006/metadata/properties" ma:root="true" ma:fieldsID="bfbc31495dc6c00f3eec6c830a36245d" ns2:_="">
    <xsd:import namespace="7a0f57ef-c463-49b7-91dc-7ed82fafe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f57ef-c463-49b7-91dc-7ed82fafe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AE9DB3-72D7-419A-96B3-E2B3042C7C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A3127B-F9FC-4025-8A3B-B4795E505C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0f57ef-c463-49b7-91dc-7ed82fafe0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87F1F1-90C8-4EC4-8B8D-0682D6E64352}">
  <ds:schemaRefs>
    <ds:schemaRef ds:uri="http://schemas.openxmlformats.org/package/2006/metadata/core-properties"/>
    <ds:schemaRef ds:uri="http://purl.org/dc/dcmitype/"/>
    <ds:schemaRef ds:uri="7a0f57ef-c463-49b7-91dc-7ed82fafe027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b405d158-29f7-484e-8e45-cf22582ad8ef}" enabled="1" method="Standard" siteId="{d9fdbcc8-1986-438c-a79e-de0ab2dc66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Legend, definitions &amp; instr</vt:lpstr>
      <vt:lpstr>Projects Overview</vt:lpstr>
      <vt:lpstr>RCCP SAM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Sandre, Lucas</dc:creator>
  <cp:keywords/>
  <dc:description/>
  <cp:lastModifiedBy>Sandre, Lucas</cp:lastModifiedBy>
  <cp:revision/>
  <cp:lastPrinted>2026-03-10T13:02:21Z</cp:lastPrinted>
  <dcterms:created xsi:type="dcterms:W3CDTF">2024-09-13T11:24:48Z</dcterms:created>
  <dcterms:modified xsi:type="dcterms:W3CDTF">2026-03-12T16:42:49Z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0x01010011F160930B71814E8BDD8E5D06114DA7</vt:lpwstr>
  </property>
</Properties>
</file>